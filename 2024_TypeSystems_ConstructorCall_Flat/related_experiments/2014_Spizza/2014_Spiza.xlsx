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Spizza\"/>
    </mc:Choice>
  </mc:AlternateContent>
  <xr:revisionPtr revIDLastSave="0" documentId="13_ncr:1_{A0DD538E-B179-4405-A087-B4AC89139C22}" xr6:coauthVersionLast="47" xr6:coauthVersionMax="47" xr10:uidLastSave="{00000000-0000-0000-0000-000000000000}"/>
  <bookViews>
    <workbookView xWindow="38290" yWindow="-110" windowWidth="38620" windowHeight="21100" xr2:uid="{02B177BB-D353-49A6-98AD-10C48F44A3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H26" i="1"/>
  <c r="L22" i="1"/>
  <c r="J26" i="1"/>
  <c r="K26" i="1" s="1"/>
  <c r="I26" i="1"/>
  <c r="D22" i="1"/>
  <c r="E22" i="1"/>
  <c r="F22" i="1"/>
  <c r="G22" i="1"/>
  <c r="H22" i="1"/>
  <c r="C22" i="1"/>
  <c r="O2" i="1"/>
  <c r="O3" i="1"/>
  <c r="O4" i="1"/>
  <c r="O5" i="1"/>
  <c r="O6" i="1"/>
  <c r="O7" i="1"/>
  <c r="O8" i="1"/>
  <c r="O9" i="1"/>
  <c r="O10" i="1"/>
  <c r="O11" i="1"/>
  <c r="O12" i="1"/>
  <c r="O1" i="1"/>
  <c r="J27" i="1" l="1"/>
</calcChain>
</file>

<file path=xl/sharedStrings.xml><?xml version="1.0" encoding="utf-8"?>
<sst xmlns="http://schemas.openxmlformats.org/spreadsheetml/2006/main" count="23" uniqueCount="3">
  <si>
    <t>TN</t>
  </si>
  <si>
    <t>-</t>
  </si>
  <si>
    <t>NoTN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</si>
</sst>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A6F7-83CE-4B07-8BDA-47182EB9509E}">
  <dimension ref="A1:O27"/>
  <sheetViews>
    <sheetView tabSelected="1" workbookViewId="0">
      <selection activeCell="I28" sqref="I28"/>
    </sheetView>
  </sheetViews>
  <sheetFormatPr baseColWidth="10" defaultRowHeight="14.5" x14ac:dyDescent="0.35"/>
  <sheetData>
    <row r="1" spans="1:15" x14ac:dyDescent="0.35">
      <c r="A1">
        <v>1</v>
      </c>
      <c r="B1" t="s">
        <v>2</v>
      </c>
      <c r="C1">
        <v>1909</v>
      </c>
      <c r="D1">
        <v>2400</v>
      </c>
      <c r="E1">
        <v>507</v>
      </c>
      <c r="F1">
        <v>1555</v>
      </c>
      <c r="G1">
        <v>1645</v>
      </c>
      <c r="H1">
        <v>1536</v>
      </c>
      <c r="I1">
        <v>4061</v>
      </c>
      <c r="J1">
        <v>5491</v>
      </c>
      <c r="L1" t="s">
        <v>1</v>
      </c>
      <c r="O1" t="e">
        <f>CONCATENATE(B1,#REF!)</f>
        <v>#REF!</v>
      </c>
    </row>
    <row r="2" spans="1:15" x14ac:dyDescent="0.35">
      <c r="A2">
        <v>2</v>
      </c>
      <c r="B2" t="s">
        <v>2</v>
      </c>
      <c r="C2">
        <v>1017</v>
      </c>
      <c r="D2">
        <v>2400</v>
      </c>
      <c r="E2">
        <v>468</v>
      </c>
      <c r="F2">
        <v>2400</v>
      </c>
      <c r="G2">
        <v>527</v>
      </c>
      <c r="H2">
        <v>1029</v>
      </c>
      <c r="I2">
        <v>2012</v>
      </c>
      <c r="J2">
        <v>5829</v>
      </c>
      <c r="L2">
        <v>204</v>
      </c>
      <c r="O2" t="e">
        <f>CONCATENATE(B2,#REF!)</f>
        <v>#REF!</v>
      </c>
    </row>
    <row r="3" spans="1:15" x14ac:dyDescent="0.35">
      <c r="A3">
        <v>3</v>
      </c>
      <c r="B3" t="s">
        <v>2</v>
      </c>
      <c r="C3">
        <v>532</v>
      </c>
      <c r="D3">
        <v>1390</v>
      </c>
      <c r="E3">
        <v>539</v>
      </c>
      <c r="F3">
        <v>739</v>
      </c>
      <c r="G3">
        <v>668</v>
      </c>
      <c r="H3">
        <v>1014</v>
      </c>
      <c r="I3">
        <v>1739</v>
      </c>
      <c r="J3">
        <v>3143</v>
      </c>
      <c r="L3">
        <v>562</v>
      </c>
      <c r="O3" t="e">
        <f>CONCATENATE(B3,#REF!)</f>
        <v>#REF!</v>
      </c>
    </row>
    <row r="4" spans="1:15" x14ac:dyDescent="0.35">
      <c r="A4">
        <v>4</v>
      </c>
      <c r="B4" t="s">
        <v>2</v>
      </c>
      <c r="C4">
        <v>978</v>
      </c>
      <c r="D4">
        <v>1848</v>
      </c>
      <c r="E4">
        <v>513</v>
      </c>
      <c r="F4">
        <v>1409</v>
      </c>
      <c r="G4">
        <v>687</v>
      </c>
      <c r="H4">
        <v>1287</v>
      </c>
      <c r="I4">
        <v>2178</v>
      </c>
      <c r="J4">
        <v>4544</v>
      </c>
      <c r="L4">
        <v>417</v>
      </c>
      <c r="O4" t="e">
        <f>CONCATENATE(B4,#REF!)</f>
        <v>#REF!</v>
      </c>
    </row>
    <row r="5" spans="1:15" x14ac:dyDescent="0.35">
      <c r="A5">
        <v>5</v>
      </c>
      <c r="B5" t="s">
        <v>2</v>
      </c>
      <c r="C5">
        <v>735</v>
      </c>
      <c r="D5">
        <v>2400</v>
      </c>
      <c r="E5">
        <v>626</v>
      </c>
      <c r="F5">
        <v>1860</v>
      </c>
      <c r="G5">
        <v>816</v>
      </c>
      <c r="H5">
        <v>1609</v>
      </c>
      <c r="I5">
        <v>2177</v>
      </c>
      <c r="J5">
        <v>5869</v>
      </c>
      <c r="L5">
        <v>456</v>
      </c>
      <c r="O5" t="e">
        <f>CONCATENATE(B5,#REF!)</f>
        <v>#REF!</v>
      </c>
    </row>
    <row r="6" spans="1:15" x14ac:dyDescent="0.35">
      <c r="A6">
        <v>6</v>
      </c>
      <c r="B6" t="s">
        <v>2</v>
      </c>
      <c r="C6">
        <v>518</v>
      </c>
      <c r="D6">
        <v>1414</v>
      </c>
      <c r="E6">
        <v>436</v>
      </c>
      <c r="F6">
        <v>576</v>
      </c>
      <c r="G6">
        <v>802</v>
      </c>
      <c r="H6">
        <v>842</v>
      </c>
      <c r="I6">
        <v>1756</v>
      </c>
      <c r="J6">
        <v>2832</v>
      </c>
      <c r="L6">
        <v>234</v>
      </c>
      <c r="O6" t="e">
        <f>CONCATENATE(B6,#REF!)</f>
        <v>#REF!</v>
      </c>
    </row>
    <row r="7" spans="1:15" x14ac:dyDescent="0.35">
      <c r="A7">
        <v>7</v>
      </c>
      <c r="B7" t="s">
        <v>2</v>
      </c>
      <c r="C7">
        <v>671</v>
      </c>
      <c r="D7">
        <v>2218</v>
      </c>
      <c r="E7">
        <v>569</v>
      </c>
      <c r="F7">
        <v>724</v>
      </c>
      <c r="G7">
        <v>848</v>
      </c>
      <c r="H7">
        <v>1303</v>
      </c>
      <c r="I7">
        <v>2088</v>
      </c>
      <c r="J7">
        <v>4245</v>
      </c>
      <c r="L7">
        <v>200</v>
      </c>
      <c r="O7" t="e">
        <f>CONCATENATE(B7,#REF!)</f>
        <v>#REF!</v>
      </c>
    </row>
    <row r="8" spans="1:15" x14ac:dyDescent="0.35">
      <c r="A8">
        <v>8</v>
      </c>
      <c r="B8" t="s">
        <v>2</v>
      </c>
      <c r="C8">
        <v>810</v>
      </c>
      <c r="D8">
        <v>1199</v>
      </c>
      <c r="E8">
        <v>565</v>
      </c>
      <c r="F8">
        <v>1038</v>
      </c>
      <c r="G8">
        <v>695</v>
      </c>
      <c r="H8">
        <v>1635</v>
      </c>
      <c r="I8">
        <v>2070</v>
      </c>
      <c r="J8">
        <v>3872</v>
      </c>
      <c r="L8">
        <v>335</v>
      </c>
      <c r="O8" t="e">
        <f>CONCATENATE(B8,#REF!)</f>
        <v>#REF!</v>
      </c>
    </row>
    <row r="9" spans="1:15" x14ac:dyDescent="0.35">
      <c r="A9">
        <v>9</v>
      </c>
      <c r="B9" t="s">
        <v>2</v>
      </c>
      <c r="C9">
        <v>690</v>
      </c>
      <c r="D9">
        <v>2400</v>
      </c>
      <c r="E9">
        <v>786</v>
      </c>
      <c r="F9">
        <v>1026</v>
      </c>
      <c r="G9">
        <v>942</v>
      </c>
      <c r="H9">
        <v>1134</v>
      </c>
      <c r="I9">
        <v>2418</v>
      </c>
      <c r="J9">
        <v>4560</v>
      </c>
      <c r="L9">
        <v>517</v>
      </c>
      <c r="O9" t="e">
        <f>CONCATENATE(B9,#REF!)</f>
        <v>#REF!</v>
      </c>
    </row>
    <row r="10" spans="1:15" x14ac:dyDescent="0.35">
      <c r="A10">
        <v>10</v>
      </c>
      <c r="B10" t="s">
        <v>2</v>
      </c>
      <c r="C10">
        <v>332</v>
      </c>
      <c r="D10">
        <v>863</v>
      </c>
      <c r="E10">
        <v>366</v>
      </c>
      <c r="F10">
        <v>611</v>
      </c>
      <c r="G10">
        <v>638</v>
      </c>
      <c r="H10">
        <v>820</v>
      </c>
      <c r="I10">
        <v>1336</v>
      </c>
      <c r="J10">
        <v>2294</v>
      </c>
      <c r="L10">
        <v>351</v>
      </c>
      <c r="O10" t="e">
        <f>CONCATENATE(B10,#REF!)</f>
        <v>#REF!</v>
      </c>
    </row>
    <row r="11" spans="1:15" x14ac:dyDescent="0.35">
      <c r="A11">
        <v>11</v>
      </c>
      <c r="B11" t="s">
        <v>0</v>
      </c>
      <c r="C11">
        <v>1305</v>
      </c>
      <c r="D11">
        <v>1198</v>
      </c>
      <c r="E11">
        <v>845</v>
      </c>
      <c r="F11">
        <v>785</v>
      </c>
      <c r="G11">
        <v>805</v>
      </c>
      <c r="H11">
        <v>1134</v>
      </c>
      <c r="I11">
        <v>2955</v>
      </c>
      <c r="J11">
        <v>3117</v>
      </c>
      <c r="L11">
        <v>819</v>
      </c>
      <c r="O11" t="str">
        <f t="shared" ref="O11:O12" si="0">CONCATENATE(B11,C11)</f>
        <v>TN1305</v>
      </c>
    </row>
    <row r="12" spans="1:15" x14ac:dyDescent="0.35">
      <c r="A12">
        <v>12</v>
      </c>
      <c r="B12" t="s">
        <v>0</v>
      </c>
      <c r="C12">
        <v>1203</v>
      </c>
      <c r="D12">
        <v>1801</v>
      </c>
      <c r="E12">
        <v>948</v>
      </c>
      <c r="F12">
        <v>896</v>
      </c>
      <c r="G12">
        <v>813</v>
      </c>
      <c r="H12">
        <v>1236</v>
      </c>
      <c r="I12">
        <v>2964</v>
      </c>
      <c r="J12">
        <v>3933</v>
      </c>
      <c r="L12">
        <v>2400</v>
      </c>
      <c r="O12" t="str">
        <f t="shared" si="0"/>
        <v>TN1203</v>
      </c>
    </row>
    <row r="13" spans="1:15" x14ac:dyDescent="0.35">
      <c r="A13">
        <v>13</v>
      </c>
      <c r="B13" t="s">
        <v>0</v>
      </c>
      <c r="C13">
        <v>1179</v>
      </c>
      <c r="D13">
        <v>1700</v>
      </c>
      <c r="E13">
        <v>1006</v>
      </c>
      <c r="F13">
        <v>654</v>
      </c>
      <c r="G13">
        <v>1300</v>
      </c>
      <c r="H13">
        <v>797</v>
      </c>
      <c r="I13">
        <v>3485</v>
      </c>
      <c r="J13">
        <v>3151</v>
      </c>
      <c r="L13">
        <v>803</v>
      </c>
    </row>
    <row r="14" spans="1:15" x14ac:dyDescent="0.35">
      <c r="A14">
        <v>14</v>
      </c>
      <c r="B14" t="s">
        <v>0</v>
      </c>
      <c r="C14">
        <v>1323</v>
      </c>
      <c r="D14">
        <v>2400</v>
      </c>
      <c r="E14">
        <v>1680</v>
      </c>
      <c r="F14">
        <v>1181</v>
      </c>
      <c r="G14">
        <v>1934</v>
      </c>
      <c r="H14">
        <v>2255</v>
      </c>
      <c r="I14">
        <v>4937</v>
      </c>
      <c r="J14">
        <v>5836</v>
      </c>
      <c r="L14" t="s">
        <v>1</v>
      </c>
    </row>
    <row r="15" spans="1:15" x14ac:dyDescent="0.35">
      <c r="A15">
        <v>15</v>
      </c>
      <c r="B15" t="s">
        <v>0</v>
      </c>
      <c r="C15">
        <v>2364</v>
      </c>
      <c r="D15">
        <v>1187</v>
      </c>
      <c r="E15">
        <v>886</v>
      </c>
      <c r="F15">
        <v>719</v>
      </c>
      <c r="G15">
        <v>890</v>
      </c>
      <c r="H15">
        <v>1085</v>
      </c>
      <c r="I15">
        <v>4140</v>
      </c>
      <c r="J15">
        <v>2991</v>
      </c>
      <c r="L15">
        <v>1395</v>
      </c>
    </row>
    <row r="16" spans="1:15" x14ac:dyDescent="0.35">
      <c r="A16">
        <v>16</v>
      </c>
      <c r="B16" t="s">
        <v>0</v>
      </c>
      <c r="C16">
        <v>672</v>
      </c>
      <c r="D16">
        <v>1560</v>
      </c>
      <c r="E16">
        <v>953</v>
      </c>
      <c r="F16">
        <v>679</v>
      </c>
      <c r="G16">
        <v>855</v>
      </c>
      <c r="H16">
        <v>969</v>
      </c>
      <c r="I16">
        <v>2480</v>
      </c>
      <c r="J16">
        <v>3208</v>
      </c>
      <c r="L16">
        <v>1000</v>
      </c>
    </row>
    <row r="17" spans="1:12" x14ac:dyDescent="0.35">
      <c r="A17">
        <v>17</v>
      </c>
      <c r="B17" t="s">
        <v>0</v>
      </c>
      <c r="C17">
        <v>2400</v>
      </c>
      <c r="D17">
        <v>2400</v>
      </c>
      <c r="E17">
        <v>1243</v>
      </c>
      <c r="F17">
        <v>1105</v>
      </c>
      <c r="G17">
        <v>1999</v>
      </c>
      <c r="H17">
        <v>1604</v>
      </c>
      <c r="I17">
        <v>5642</v>
      </c>
      <c r="J17">
        <v>5109</v>
      </c>
      <c r="L17" t="s">
        <v>1</v>
      </c>
    </row>
    <row r="18" spans="1:12" x14ac:dyDescent="0.35">
      <c r="A18">
        <v>18</v>
      </c>
      <c r="B18" t="s">
        <v>0</v>
      </c>
      <c r="C18">
        <v>983</v>
      </c>
      <c r="D18">
        <v>1096</v>
      </c>
      <c r="E18">
        <v>1014</v>
      </c>
      <c r="F18">
        <v>1022</v>
      </c>
      <c r="G18">
        <v>1477</v>
      </c>
      <c r="H18">
        <v>2236</v>
      </c>
      <c r="I18">
        <v>3474</v>
      </c>
      <c r="J18">
        <v>4354</v>
      </c>
      <c r="L18">
        <v>640</v>
      </c>
    </row>
    <row r="19" spans="1:12" x14ac:dyDescent="0.35">
      <c r="A19">
        <v>19</v>
      </c>
      <c r="B19" t="s">
        <v>0</v>
      </c>
      <c r="C19">
        <v>504</v>
      </c>
      <c r="D19">
        <v>763</v>
      </c>
      <c r="E19">
        <v>542</v>
      </c>
      <c r="F19">
        <v>467</v>
      </c>
      <c r="G19">
        <v>744</v>
      </c>
      <c r="H19">
        <v>613</v>
      </c>
      <c r="I19">
        <v>1790</v>
      </c>
      <c r="J19">
        <v>1843</v>
      </c>
      <c r="L19">
        <v>612</v>
      </c>
    </row>
    <row r="20" spans="1:12" x14ac:dyDescent="0.35">
      <c r="A20">
        <v>20</v>
      </c>
      <c r="B20" t="s">
        <v>0</v>
      </c>
      <c r="C20">
        <v>794</v>
      </c>
      <c r="D20">
        <v>984</v>
      </c>
      <c r="E20">
        <v>522</v>
      </c>
      <c r="F20">
        <v>458</v>
      </c>
      <c r="G20">
        <v>1066</v>
      </c>
      <c r="H20">
        <v>729</v>
      </c>
      <c r="I20">
        <v>2382</v>
      </c>
      <c r="J20">
        <v>2171</v>
      </c>
      <c r="L20">
        <v>536</v>
      </c>
    </row>
    <row r="22" spans="1:12" x14ac:dyDescent="0.35">
      <c r="C22">
        <f>SUM(C1:C20)</f>
        <v>20919</v>
      </c>
      <c r="D22">
        <f t="shared" ref="D22:H22" si="1">SUM(D1:D20)</f>
        <v>33621</v>
      </c>
      <c r="E22">
        <f t="shared" si="1"/>
        <v>15014</v>
      </c>
      <c r="F22">
        <f t="shared" si="1"/>
        <v>19904</v>
      </c>
      <c r="G22">
        <f t="shared" si="1"/>
        <v>20151</v>
      </c>
      <c r="H22">
        <f t="shared" si="1"/>
        <v>24867</v>
      </c>
      <c r="L22">
        <f>SUM(L1:L20)</f>
        <v>11481</v>
      </c>
    </row>
    <row r="26" spans="1:12" x14ac:dyDescent="0.35">
      <c r="H26">
        <f>SUM(22:22)</f>
        <v>145957</v>
      </c>
      <c r="I26">
        <f>H26/20</f>
        <v>7297.85</v>
      </c>
      <c r="J26">
        <f>I26/60</f>
        <v>121.63083333333334</v>
      </c>
      <c r="K26">
        <f>J26/60</f>
        <v>2.0271805555555558</v>
      </c>
    </row>
    <row r="27" spans="1:12" x14ac:dyDescent="0.35">
      <c r="I27">
        <f>H26/30/7</f>
        <v>695.03333333333342</v>
      </c>
      <c r="J27">
        <f>I27/60</f>
        <v>11.58388888888889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2025-10-09T14:30:11Z</dcterms:created>
  <dcterms:modified xsi:type="dcterms:W3CDTF">2025-10-10T09:15:24Z</dcterms:modified>
</cp:coreProperties>
</file>