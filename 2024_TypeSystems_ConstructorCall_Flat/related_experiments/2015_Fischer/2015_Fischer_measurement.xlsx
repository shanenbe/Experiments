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\Sciebo\Papers\2024\2024_TypeSystems_Economical\Literature\Fischer_2015\"/>
    </mc:Choice>
  </mc:AlternateContent>
  <xr:revisionPtr revIDLastSave="0" documentId="13_ncr:1_{D2B9447C-16C7-42C2-A144-1F0476F23E2C}" xr6:coauthVersionLast="47" xr6:coauthVersionMax="47" xr10:uidLastSave="{00000000-0000-0000-0000-000000000000}"/>
  <bookViews>
    <workbookView xWindow="-28920" yWindow="-120" windowWidth="29040" windowHeight="15720" xr2:uid="{2C9279B6-8683-4B62-B545-45F90357515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/>
  <c r="P30" i="1"/>
  <c r="O30" i="1"/>
  <c r="N30" i="1"/>
  <c r="M30" i="1"/>
  <c r="L30" i="1"/>
  <c r="L29" i="1"/>
  <c r="K29" i="1"/>
  <c r="J29" i="1"/>
  <c r="O28" i="1"/>
  <c r="O27" i="1"/>
  <c r="N27" i="1"/>
  <c r="M27" i="1"/>
  <c r="L27" i="1"/>
  <c r="K27" i="1"/>
</calcChain>
</file>

<file path=xl/sharedStrings.xml><?xml version="1.0" encoding="utf-8"?>
<sst xmlns="http://schemas.openxmlformats.org/spreadsheetml/2006/main" count="96" uniqueCount="4">
  <si>
    <t>JS</t>
  </si>
  <si>
    <t>yes</t>
  </si>
  <si>
    <t>TS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</si>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</sst>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A07E-1166-4F96-8C97-E76D6B9CC1DF}">
  <dimension ref="A1:P30"/>
  <sheetViews>
    <sheetView tabSelected="1" workbookViewId="0">
      <selection activeCell="M30" sqref="M30"/>
    </sheetView>
  </sheetViews>
  <sheetFormatPr baseColWidth="10" defaultRowHeight="14.5" x14ac:dyDescent="0.35"/>
  <sheetData>
    <row r="1" spans="1:9" x14ac:dyDescent="0.35">
      <c r="A1">
        <v>1</v>
      </c>
      <c r="B1">
        <v>1</v>
      </c>
      <c r="C1" t="s">
        <v>0</v>
      </c>
      <c r="D1" t="s">
        <v>1</v>
      </c>
      <c r="E1">
        <v>3130</v>
      </c>
      <c r="F1" t="s">
        <v>2</v>
      </c>
      <c r="G1" t="s">
        <v>1</v>
      </c>
      <c r="H1">
        <v>1575</v>
      </c>
      <c r="I1">
        <v>1555</v>
      </c>
    </row>
    <row r="2" spans="1:9" x14ac:dyDescent="0.35">
      <c r="A2">
        <v>2</v>
      </c>
      <c r="B2">
        <v>1</v>
      </c>
      <c r="C2" t="s">
        <v>0</v>
      </c>
      <c r="D2" t="s">
        <v>1</v>
      </c>
      <c r="E2">
        <v>2275</v>
      </c>
      <c r="F2" t="s">
        <v>2</v>
      </c>
      <c r="G2" t="s">
        <v>1</v>
      </c>
      <c r="H2">
        <v>850</v>
      </c>
      <c r="I2">
        <v>1425</v>
      </c>
    </row>
    <row r="3" spans="1:9" x14ac:dyDescent="0.35">
      <c r="A3">
        <v>3</v>
      </c>
      <c r="B3">
        <v>1</v>
      </c>
      <c r="C3" t="s">
        <v>0</v>
      </c>
      <c r="D3" t="s">
        <v>1</v>
      </c>
      <c r="E3">
        <v>3320</v>
      </c>
      <c r="F3" t="s">
        <v>2</v>
      </c>
      <c r="G3" t="s">
        <v>1</v>
      </c>
      <c r="H3">
        <v>1438</v>
      </c>
      <c r="I3">
        <v>1882</v>
      </c>
    </row>
    <row r="4" spans="1:9" x14ac:dyDescent="0.35">
      <c r="A4">
        <v>4</v>
      </c>
      <c r="B4">
        <v>1</v>
      </c>
      <c r="C4" t="s">
        <v>0</v>
      </c>
      <c r="D4" t="s">
        <v>1</v>
      </c>
      <c r="E4">
        <v>3558</v>
      </c>
      <c r="F4" t="s">
        <v>2</v>
      </c>
      <c r="G4" t="s">
        <v>1</v>
      </c>
      <c r="H4">
        <v>1915</v>
      </c>
      <c r="I4">
        <v>1643</v>
      </c>
    </row>
    <row r="5" spans="1:9" x14ac:dyDescent="0.35">
      <c r="A5">
        <v>5</v>
      </c>
      <c r="B5">
        <v>1</v>
      </c>
      <c r="C5" t="s">
        <v>0</v>
      </c>
      <c r="D5" t="s">
        <v>1</v>
      </c>
      <c r="E5">
        <v>2205</v>
      </c>
      <c r="F5" t="s">
        <v>2</v>
      </c>
      <c r="G5" t="s">
        <v>1</v>
      </c>
      <c r="H5">
        <v>755</v>
      </c>
      <c r="I5">
        <v>1450</v>
      </c>
    </row>
    <row r="6" spans="1:9" x14ac:dyDescent="0.35">
      <c r="A6">
        <v>6</v>
      </c>
      <c r="B6">
        <v>1</v>
      </c>
      <c r="C6" t="s">
        <v>0</v>
      </c>
      <c r="D6" t="s">
        <v>1</v>
      </c>
      <c r="E6">
        <v>2718</v>
      </c>
      <c r="F6" t="s">
        <v>2</v>
      </c>
      <c r="G6" t="s">
        <v>1</v>
      </c>
      <c r="H6">
        <v>2153</v>
      </c>
      <c r="I6">
        <v>565</v>
      </c>
    </row>
    <row r="7" spans="1:9" x14ac:dyDescent="0.35">
      <c r="A7">
        <v>7</v>
      </c>
      <c r="B7">
        <v>2</v>
      </c>
      <c r="C7" t="s">
        <v>0</v>
      </c>
      <c r="D7" t="s">
        <v>3</v>
      </c>
      <c r="E7">
        <v>4200</v>
      </c>
      <c r="F7" t="s">
        <v>2</v>
      </c>
      <c r="G7" t="s">
        <v>3</v>
      </c>
      <c r="H7">
        <v>2195</v>
      </c>
      <c r="I7">
        <v>2005</v>
      </c>
    </row>
    <row r="8" spans="1:9" x14ac:dyDescent="0.35">
      <c r="A8">
        <v>8</v>
      </c>
      <c r="B8">
        <v>2</v>
      </c>
      <c r="C8" t="s">
        <v>0</v>
      </c>
      <c r="D8" t="s">
        <v>3</v>
      </c>
      <c r="E8">
        <v>3141</v>
      </c>
      <c r="F8" t="s">
        <v>2</v>
      </c>
      <c r="G8" t="s">
        <v>3</v>
      </c>
      <c r="H8">
        <v>1230</v>
      </c>
      <c r="I8">
        <v>1911</v>
      </c>
    </row>
    <row r="9" spans="1:9" x14ac:dyDescent="0.35">
      <c r="A9">
        <v>9</v>
      </c>
      <c r="B9">
        <v>2</v>
      </c>
      <c r="C9" t="s">
        <v>0</v>
      </c>
      <c r="D9" t="s">
        <v>3</v>
      </c>
      <c r="E9">
        <v>2334</v>
      </c>
      <c r="F9" t="s">
        <v>2</v>
      </c>
      <c r="G9" t="s">
        <v>3</v>
      </c>
      <c r="H9">
        <v>1250</v>
      </c>
      <c r="I9">
        <v>1084</v>
      </c>
    </row>
    <row r="10" spans="1:9" x14ac:dyDescent="0.35">
      <c r="A10">
        <v>10</v>
      </c>
      <c r="B10">
        <v>2</v>
      </c>
      <c r="C10" t="s">
        <v>0</v>
      </c>
      <c r="D10" t="s">
        <v>3</v>
      </c>
      <c r="E10">
        <v>3062</v>
      </c>
      <c r="F10" t="s">
        <v>2</v>
      </c>
      <c r="G10" t="s">
        <v>3</v>
      </c>
      <c r="H10">
        <v>1508</v>
      </c>
      <c r="I10">
        <v>1554</v>
      </c>
    </row>
    <row r="11" spans="1:9" x14ac:dyDescent="0.35">
      <c r="A11">
        <v>11</v>
      </c>
      <c r="B11">
        <v>2</v>
      </c>
      <c r="C11" t="s">
        <v>0</v>
      </c>
      <c r="D11" t="s">
        <v>3</v>
      </c>
      <c r="E11">
        <v>1272</v>
      </c>
      <c r="F11" t="s">
        <v>2</v>
      </c>
      <c r="G11" t="s">
        <v>3</v>
      </c>
      <c r="H11">
        <v>865</v>
      </c>
      <c r="I11">
        <v>407</v>
      </c>
    </row>
    <row r="12" spans="1:9" x14ac:dyDescent="0.35">
      <c r="A12">
        <v>12</v>
      </c>
      <c r="B12">
        <v>2</v>
      </c>
      <c r="C12" t="s">
        <v>0</v>
      </c>
      <c r="D12" t="s">
        <v>3</v>
      </c>
      <c r="E12">
        <v>2574</v>
      </c>
      <c r="F12" t="s">
        <v>2</v>
      </c>
      <c r="G12" t="s">
        <v>3</v>
      </c>
      <c r="H12">
        <v>1065</v>
      </c>
      <c r="I12">
        <v>1509</v>
      </c>
    </row>
    <row r="13" spans="1:9" x14ac:dyDescent="0.35">
      <c r="A13">
        <v>13</v>
      </c>
      <c r="B13">
        <v>3</v>
      </c>
      <c r="C13" t="s">
        <v>2</v>
      </c>
      <c r="D13" t="s">
        <v>1</v>
      </c>
      <c r="E13">
        <v>1645</v>
      </c>
      <c r="F13" t="s">
        <v>0</v>
      </c>
      <c r="G13" t="s">
        <v>1</v>
      </c>
      <c r="H13">
        <v>1201</v>
      </c>
      <c r="I13">
        <v>-444</v>
      </c>
    </row>
    <row r="14" spans="1:9" x14ac:dyDescent="0.35">
      <c r="A14">
        <v>14</v>
      </c>
      <c r="B14">
        <v>3</v>
      </c>
      <c r="C14" t="s">
        <v>2</v>
      </c>
      <c r="D14" t="s">
        <v>1</v>
      </c>
      <c r="E14">
        <v>1290</v>
      </c>
      <c r="F14" t="s">
        <v>0</v>
      </c>
      <c r="G14" t="s">
        <v>1</v>
      </c>
      <c r="H14">
        <v>665</v>
      </c>
      <c r="I14">
        <v>-625</v>
      </c>
    </row>
    <row r="15" spans="1:9" x14ac:dyDescent="0.35">
      <c r="A15">
        <v>15</v>
      </c>
      <c r="B15">
        <v>3</v>
      </c>
      <c r="C15" t="s">
        <v>2</v>
      </c>
      <c r="D15" t="s">
        <v>1</v>
      </c>
      <c r="E15">
        <v>1639</v>
      </c>
      <c r="F15" t="s">
        <v>0</v>
      </c>
      <c r="G15" t="s">
        <v>1</v>
      </c>
      <c r="H15">
        <v>2095</v>
      </c>
      <c r="I15">
        <v>456</v>
      </c>
    </row>
    <row r="16" spans="1:9" x14ac:dyDescent="0.35">
      <c r="A16">
        <v>16</v>
      </c>
      <c r="B16">
        <v>3</v>
      </c>
      <c r="C16" t="s">
        <v>2</v>
      </c>
      <c r="D16" t="s">
        <v>1</v>
      </c>
      <c r="E16">
        <v>2209</v>
      </c>
      <c r="F16" t="s">
        <v>0</v>
      </c>
      <c r="G16" t="s">
        <v>1</v>
      </c>
      <c r="H16">
        <v>2986</v>
      </c>
      <c r="I16">
        <v>777</v>
      </c>
    </row>
    <row r="17" spans="1:16" x14ac:dyDescent="0.35">
      <c r="A17">
        <v>17</v>
      </c>
      <c r="B17">
        <v>3</v>
      </c>
      <c r="C17" t="s">
        <v>2</v>
      </c>
      <c r="D17" t="s">
        <v>1</v>
      </c>
      <c r="E17">
        <v>792</v>
      </c>
      <c r="F17" t="s">
        <v>0</v>
      </c>
      <c r="G17" t="s">
        <v>1</v>
      </c>
      <c r="H17">
        <v>2783</v>
      </c>
      <c r="I17">
        <v>1991</v>
      </c>
    </row>
    <row r="18" spans="1:16" x14ac:dyDescent="0.35">
      <c r="A18">
        <v>18</v>
      </c>
      <c r="B18">
        <v>3</v>
      </c>
      <c r="C18" t="s">
        <v>2</v>
      </c>
      <c r="D18" t="s">
        <v>1</v>
      </c>
      <c r="E18">
        <v>1621</v>
      </c>
      <c r="F18" t="s">
        <v>0</v>
      </c>
      <c r="G18" t="s">
        <v>1</v>
      </c>
      <c r="H18">
        <v>2371</v>
      </c>
      <c r="I18">
        <v>750</v>
      </c>
    </row>
    <row r="19" spans="1:16" x14ac:dyDescent="0.35">
      <c r="A19">
        <v>19</v>
      </c>
      <c r="B19">
        <v>4</v>
      </c>
      <c r="C19" t="s">
        <v>2</v>
      </c>
      <c r="D19" t="s">
        <v>3</v>
      </c>
      <c r="E19">
        <v>2328</v>
      </c>
      <c r="F19" t="s">
        <v>0</v>
      </c>
      <c r="G19" t="s">
        <v>3</v>
      </c>
      <c r="H19">
        <v>2194</v>
      </c>
      <c r="I19">
        <v>-134</v>
      </c>
    </row>
    <row r="20" spans="1:16" x14ac:dyDescent="0.35">
      <c r="A20">
        <v>20</v>
      </c>
      <c r="B20">
        <v>4</v>
      </c>
      <c r="C20" t="s">
        <v>2</v>
      </c>
      <c r="D20" t="s">
        <v>3</v>
      </c>
      <c r="E20">
        <v>1493</v>
      </c>
      <c r="F20" t="s">
        <v>0</v>
      </c>
      <c r="G20" t="s">
        <v>3</v>
      </c>
      <c r="H20">
        <v>3169</v>
      </c>
      <c r="I20">
        <v>1676</v>
      </c>
    </row>
    <row r="21" spans="1:16" x14ac:dyDescent="0.35">
      <c r="A21">
        <v>21</v>
      </c>
      <c r="B21">
        <v>4</v>
      </c>
      <c r="C21" t="s">
        <v>2</v>
      </c>
      <c r="D21" t="s">
        <v>3</v>
      </c>
      <c r="E21">
        <v>1793</v>
      </c>
      <c r="F21" t="s">
        <v>0</v>
      </c>
      <c r="G21" t="s">
        <v>3</v>
      </c>
      <c r="H21">
        <v>2106</v>
      </c>
      <c r="I21">
        <v>313</v>
      </c>
    </row>
    <row r="22" spans="1:16" x14ac:dyDescent="0.35">
      <c r="A22">
        <v>22</v>
      </c>
      <c r="B22">
        <v>4</v>
      </c>
      <c r="C22" t="s">
        <v>2</v>
      </c>
      <c r="D22" t="s">
        <v>3</v>
      </c>
      <c r="E22">
        <v>1214</v>
      </c>
      <c r="F22" t="s">
        <v>0</v>
      </c>
      <c r="G22" t="s">
        <v>3</v>
      </c>
      <c r="H22">
        <v>3216</v>
      </c>
      <c r="I22">
        <v>2002</v>
      </c>
    </row>
    <row r="23" spans="1:16" x14ac:dyDescent="0.35">
      <c r="A23">
        <v>23</v>
      </c>
      <c r="B23">
        <v>4</v>
      </c>
      <c r="C23" t="s">
        <v>2</v>
      </c>
      <c r="D23" t="s">
        <v>3</v>
      </c>
      <c r="E23">
        <v>2775</v>
      </c>
      <c r="F23" t="s">
        <v>0</v>
      </c>
      <c r="G23" t="s">
        <v>3</v>
      </c>
      <c r="H23">
        <v>4200</v>
      </c>
      <c r="I23">
        <v>1425</v>
      </c>
    </row>
    <row r="24" spans="1:16" x14ac:dyDescent="0.35">
      <c r="A24">
        <v>24</v>
      </c>
      <c r="B24">
        <v>4</v>
      </c>
      <c r="C24" t="s">
        <v>2</v>
      </c>
      <c r="D24" t="s">
        <v>3</v>
      </c>
      <c r="E24">
        <v>3500</v>
      </c>
      <c r="F24" t="s">
        <v>0</v>
      </c>
      <c r="G24" t="s">
        <v>3</v>
      </c>
      <c r="H24">
        <v>4200</v>
      </c>
      <c r="I24">
        <v>700</v>
      </c>
    </row>
    <row r="27" spans="1:16" x14ac:dyDescent="0.35">
      <c r="K27">
        <f>SUM(H:H)</f>
        <v>47985</v>
      </c>
      <c r="L27">
        <f>SUM(I:I)</f>
        <v>25877</v>
      </c>
      <c r="M27">
        <f>K27+L27</f>
        <v>73862</v>
      </c>
      <c r="N27">
        <f>M27/60</f>
        <v>1231.0333333333333</v>
      </c>
      <c r="O27">
        <f>N27/24</f>
        <v>51.293055555555554</v>
      </c>
    </row>
    <row r="28" spans="1:16" x14ac:dyDescent="0.35">
      <c r="O28">
        <f>O27/2</f>
        <v>25.646527777777777</v>
      </c>
    </row>
    <row r="29" spans="1:16" x14ac:dyDescent="0.35">
      <c r="J29">
        <f>SUM(E:E)</f>
        <v>56088</v>
      </c>
      <c r="K29">
        <f>SUM(H1:H24)</f>
        <v>47985</v>
      </c>
      <c r="L29">
        <f>J29+K29</f>
        <v>104073</v>
      </c>
      <c r="M29">
        <f>L29/60/60</f>
        <v>28.909166666666668</v>
      </c>
    </row>
    <row r="30" spans="1:16" x14ac:dyDescent="0.35">
      <c r="L30">
        <f>L29/24</f>
        <v>4336.375</v>
      </c>
      <c r="M30">
        <f>L30/60</f>
        <v>72.27291666666666</v>
      </c>
      <c r="N30">
        <f>M30/60</f>
        <v>1.204548611111111</v>
      </c>
      <c r="O30">
        <f>N30/2</f>
        <v>0.6022743055555555</v>
      </c>
      <c r="P30">
        <f>O30*60</f>
        <v>36.13645833333333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Hanenberg</dc:creator>
  <cp:lastModifiedBy>Stefan Hanenberg</cp:lastModifiedBy>
  <dcterms:created xsi:type="dcterms:W3CDTF">2025-10-13T11:54:52Z</dcterms:created>
  <dcterms:modified xsi:type="dcterms:W3CDTF">2025-12-12T16:43:16Z</dcterms:modified>
</cp:coreProperties>
</file>