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\Sciebo\Papers\2024\2024_TypeSystems_Economical\Literature\Prechelt_1998\"/>
    </mc:Choice>
  </mc:AlternateContent>
  <xr:revisionPtr revIDLastSave="0" documentId="13_ncr:1_{730ABE92-B235-4F1E-917B-B57C6BCE4D01}" xr6:coauthVersionLast="47" xr6:coauthVersionMax="47" xr10:uidLastSave="{00000000-0000-0000-0000-000000000000}"/>
  <bookViews>
    <workbookView xWindow="38290" yWindow="-110" windowWidth="38620" windowHeight="21100" xr2:uid="{FEE99811-0644-4162-AF7B-8DF9041B28D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" i="1" l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2" i="1"/>
</calcChain>
</file>

<file path=xl/sharedStrings.xml><?xml version="1.0" encoding="utf-8"?>
<sst xmlns="http://schemas.openxmlformats.org/spreadsheetml/2006/main" count="1401" uniqueCount="258">
  <si>
    <t>Name</t>
  </si>
  <si>
    <t>Nr</t>
  </si>
  <si>
    <t>Prob</t>
  </si>
  <si>
    <t>Grp</t>
  </si>
  <si>
    <t>Comp</t>
  </si>
  <si>
    <t>versions</t>
  </si>
  <si>
    <t>hours</t>
  </si>
  <si>
    <t>vers/hours</t>
  </si>
  <si>
    <t>gaps</t>
  </si>
  <si>
    <t>msgs</t>
  </si>
  <si>
    <t>msgs/hour</t>
  </si>
  <si>
    <t>typeappAMT</t>
  </si>
  <si>
    <t>typeappearXYZ</t>
  </si>
  <si>
    <t>miscorrAMT</t>
  </si>
  <si>
    <t>miscorrXYZ</t>
  </si>
  <si>
    <t>life4</t>
  </si>
  <si>
    <t>life5</t>
  </si>
  <si>
    <t>life6</t>
  </si>
  <si>
    <t>life</t>
  </si>
  <si>
    <t>i/h4</t>
  </si>
  <si>
    <t>i/h5</t>
  </si>
  <si>
    <t>i/h6</t>
  </si>
  <si>
    <t>insert/hour</t>
  </si>
  <si>
    <t>r/h4</t>
  </si>
  <si>
    <t>r/h5</t>
  </si>
  <si>
    <t>r/h6</t>
  </si>
  <si>
    <t>remove/hour</t>
  </si>
  <si>
    <t>chg4</t>
  </si>
  <si>
    <t>chg5</t>
  </si>
  <si>
    <t>chg6</t>
  </si>
  <si>
    <t>chg</t>
  </si>
  <si>
    <t>mw4</t>
  </si>
  <si>
    <t>mw5</t>
  </si>
  <si>
    <t>mw6</t>
  </si>
  <si>
    <t>mwrong</t>
  </si>
  <si>
    <t>remain4</t>
  </si>
  <si>
    <t>remain5</t>
  </si>
  <si>
    <t>remain6</t>
  </si>
  <si>
    <t>remain</t>
  </si>
  <si>
    <t>003A</t>
  </si>
  <si>
    <t>A</t>
  </si>
  <si>
    <t>1.6</t>
  </si>
  <si>
    <t>14.8</t>
  </si>
  <si>
    <t>1.2</t>
  </si>
  <si>
    <t>8.1</t>
  </si>
  <si>
    <t>0.8</t>
  </si>
  <si>
    <t>0.0</t>
  </si>
  <si>
    <t>8.9</t>
  </si>
  <si>
    <t>7.4</t>
  </si>
  <si>
    <t>3.1</t>
  </si>
  <si>
    <t>10.5</t>
  </si>
  <si>
    <t>3.7</t>
  </si>
  <si>
    <t>6.8</t>
  </si>
  <si>
    <t>4.1</t>
  </si>
  <si>
    <t>1.8</t>
  </si>
  <si>
    <t>5.9</t>
  </si>
  <si>
    <t>003B</t>
  </si>
  <si>
    <t>B</t>
  </si>
  <si>
    <t>1.3</t>
  </si>
  <si>
    <t>12.2</t>
  </si>
  <si>
    <t>2.3</t>
  </si>
  <si>
    <t>3.5</t>
  </si>
  <si>
    <t>4.3</t>
  </si>
  <si>
    <t>9.1</t>
  </si>
  <si>
    <t>11.4</t>
  </si>
  <si>
    <t>7.6</t>
  </si>
  <si>
    <t>1.5</t>
  </si>
  <si>
    <t>2.0</t>
  </si>
  <si>
    <t>005A</t>
  </si>
  <si>
    <t>20.3</t>
  </si>
  <si>
    <t>0.7</t>
  </si>
  <si>
    <t>2.9</t>
  </si>
  <si>
    <t>3.9</t>
  </si>
  <si>
    <t>4.7</t>
  </si>
  <si>
    <t>5.4</t>
  </si>
  <si>
    <t>10.1</t>
  </si>
  <si>
    <t>2.7</t>
  </si>
  <si>
    <t>2.5</t>
  </si>
  <si>
    <t>4.8</t>
  </si>
  <si>
    <t>005B</t>
  </si>
  <si>
    <t>14.0</t>
  </si>
  <si>
    <t>11.0</t>
  </si>
  <si>
    <t>1.4</t>
  </si>
  <si>
    <t>0.4</t>
  </si>
  <si>
    <t>1.0</t>
  </si>
  <si>
    <t>3.0</t>
  </si>
  <si>
    <t>3.2</t>
  </si>
  <si>
    <t>006A</t>
  </si>
  <si>
    <t>9.7</t>
  </si>
  <si>
    <t>15.8</t>
  </si>
  <si>
    <t>2.6</t>
  </si>
  <si>
    <t>0.5</t>
  </si>
  <si>
    <t>4.2</t>
  </si>
  <si>
    <t>7.3</t>
  </si>
  <si>
    <t>4.9</t>
  </si>
  <si>
    <t>19.4</t>
  </si>
  <si>
    <t>2.4</t>
  </si>
  <si>
    <t>3.6</t>
  </si>
  <si>
    <t>2.8</t>
  </si>
  <si>
    <t>2.2</t>
  </si>
  <si>
    <t>7.8</t>
  </si>
  <si>
    <t>006B</t>
  </si>
  <si>
    <t>22.3</t>
  </si>
  <si>
    <t>13.6</t>
  </si>
  <si>
    <t>0.2</t>
  </si>
  <si>
    <t>1.9</t>
  </si>
  <si>
    <t>5.8</t>
  </si>
  <si>
    <t>6.0</t>
  </si>
  <si>
    <t>007A</t>
  </si>
  <si>
    <t>11.5</t>
  </si>
  <si>
    <t>4.4</t>
  </si>
  <si>
    <t>2.1</t>
  </si>
  <si>
    <t>0.1</t>
  </si>
  <si>
    <t>3.8</t>
  </si>
  <si>
    <t>1.1</t>
  </si>
  <si>
    <t>6.5</t>
  </si>
  <si>
    <t>3.3</t>
  </si>
  <si>
    <t>1.7</t>
  </si>
  <si>
    <t>5.7</t>
  </si>
  <si>
    <t>007B</t>
  </si>
  <si>
    <t>10.2</t>
  </si>
  <si>
    <t>16.5</t>
  </si>
  <si>
    <t>0.6</t>
  </si>
  <si>
    <t>6.4</t>
  </si>
  <si>
    <t>0.3</t>
  </si>
  <si>
    <t>8.8</t>
  </si>
  <si>
    <t>008A</t>
  </si>
  <si>
    <t>18.2</t>
  </si>
  <si>
    <t>9.6</t>
  </si>
  <si>
    <t>6.2</t>
  </si>
  <si>
    <t>6.6</t>
  </si>
  <si>
    <t>008B</t>
  </si>
  <si>
    <t>11.1</t>
  </si>
  <si>
    <t>5.0</t>
  </si>
  <si>
    <t>009A</t>
  </si>
  <si>
    <t>3.4</t>
  </si>
  <si>
    <t>5.1</t>
  </si>
  <si>
    <t>5.3</t>
  </si>
  <si>
    <t>009B</t>
  </si>
  <si>
    <t>010A</t>
  </si>
  <si>
    <t>12.1</t>
  </si>
  <si>
    <t>10.0</t>
  </si>
  <si>
    <t>4.6</t>
  </si>
  <si>
    <t>010B</t>
  </si>
  <si>
    <t>0.9</t>
  </si>
  <si>
    <t>18.1</t>
  </si>
  <si>
    <t>24.9</t>
  </si>
  <si>
    <t>011A</t>
  </si>
  <si>
    <t>11.8</t>
  </si>
  <si>
    <t>011B</t>
  </si>
  <si>
    <t>5.2</t>
  </si>
  <si>
    <t>012A</t>
  </si>
  <si>
    <t>8.6</t>
  </si>
  <si>
    <t>8.0</t>
  </si>
  <si>
    <t>012B</t>
  </si>
  <si>
    <t>17.7</t>
  </si>
  <si>
    <t>013A</t>
  </si>
  <si>
    <t>6.7</t>
  </si>
  <si>
    <t>8.5</t>
  </si>
  <si>
    <t>013B</t>
  </si>
  <si>
    <t>15.4</t>
  </si>
  <si>
    <t>7.7</t>
  </si>
  <si>
    <t>014A</t>
  </si>
  <si>
    <t>7.1</t>
  </si>
  <si>
    <t>014B</t>
  </si>
  <si>
    <t>015A</t>
  </si>
  <si>
    <t>10.7</t>
  </si>
  <si>
    <t>7.9</t>
  </si>
  <si>
    <t>015B</t>
  </si>
  <si>
    <t>15.3</t>
  </si>
  <si>
    <t>6.1</t>
  </si>
  <si>
    <t>016A</t>
  </si>
  <si>
    <t>9.4</t>
  </si>
  <si>
    <t>4.0</t>
  </si>
  <si>
    <t>4.5</t>
  </si>
  <si>
    <t>016B</t>
  </si>
  <si>
    <t>017A</t>
  </si>
  <si>
    <t>22.9</t>
  </si>
  <si>
    <t>13.7</t>
  </si>
  <si>
    <t>017B</t>
  </si>
  <si>
    <t>14.5</t>
  </si>
  <si>
    <t>8.3</t>
  </si>
  <si>
    <t>5.5</t>
  </si>
  <si>
    <t>018A</t>
  </si>
  <si>
    <t>12.7</t>
  </si>
  <si>
    <t>7.0</t>
  </si>
  <si>
    <t>17.5</t>
  </si>
  <si>
    <t>8.4</t>
  </si>
  <si>
    <t>018B</t>
  </si>
  <si>
    <t>019A</t>
  </si>
  <si>
    <t>5.6</t>
  </si>
  <si>
    <t>12.8</t>
  </si>
  <si>
    <t>11.9</t>
  </si>
  <si>
    <t>019B</t>
  </si>
  <si>
    <t>020A</t>
  </si>
  <si>
    <t>12.5</t>
  </si>
  <si>
    <t>020B</t>
  </si>
  <si>
    <t>021A</t>
  </si>
  <si>
    <t>13.9</t>
  </si>
  <si>
    <t>13.3</t>
  </si>
  <si>
    <t>021B</t>
  </si>
  <si>
    <t>9.3</t>
  </si>
  <si>
    <t>023A</t>
  </si>
  <si>
    <t>023B</t>
  </si>
  <si>
    <t>15.1</t>
  </si>
  <si>
    <t>025A</t>
  </si>
  <si>
    <t>025B</t>
  </si>
  <si>
    <t>9.5</t>
  </si>
  <si>
    <t>026A</t>
  </si>
  <si>
    <t>19.0</t>
  </si>
  <si>
    <t>6.3</t>
  </si>
  <si>
    <t>026B</t>
  </si>
  <si>
    <t>6.9</t>
  </si>
  <si>
    <t>027A</t>
  </si>
  <si>
    <t>027B</t>
  </si>
  <si>
    <t>028A</t>
  </si>
  <si>
    <t>028B</t>
  </si>
  <si>
    <t>11.6</t>
  </si>
  <si>
    <t>029A</t>
  </si>
  <si>
    <t>10.6</t>
  </si>
  <si>
    <t>029B</t>
  </si>
  <si>
    <t>031A</t>
  </si>
  <si>
    <t>15.2</t>
  </si>
  <si>
    <t>031B</t>
  </si>
  <si>
    <t>9.0</t>
  </si>
  <si>
    <t>032A</t>
  </si>
  <si>
    <t>13.4</t>
  </si>
  <si>
    <t>032B</t>
  </si>
  <si>
    <t>16.1</t>
  </si>
  <si>
    <t>033A</t>
  </si>
  <si>
    <t>13.1</t>
  </si>
  <si>
    <t>033B</t>
  </si>
  <si>
    <t>036A</t>
  </si>
  <si>
    <t>12.9</t>
  </si>
  <si>
    <t>036B</t>
  </si>
  <si>
    <t>11.7</t>
  </si>
  <si>
    <t>037A</t>
  </si>
  <si>
    <t>037B</t>
  </si>
  <si>
    <t>30.3</t>
  </si>
  <si>
    <t>038A</t>
  </si>
  <si>
    <t>12.4</t>
  </si>
  <si>
    <t>9.2</t>
  </si>
  <si>
    <t>21.6</t>
  </si>
  <si>
    <t>038B</t>
  </si>
  <si>
    <t>21.1</t>
  </si>
  <si>
    <t>039A</t>
  </si>
  <si>
    <t>039B</t>
  </si>
  <si>
    <t>040A</t>
  </si>
  <si>
    <t>040B</t>
  </si>
  <si>
    <t>041A</t>
  </si>
  <si>
    <t>041B</t>
  </si>
  <si>
    <t>18.3</t>
  </si>
  <si>
    <t>042A</t>
  </si>
  <si>
    <t>18.6</t>
  </si>
  <si>
    <t>042B</t>
  </si>
  <si>
    <t>16.6</t>
  </si>
  <si>
    <t>Position</t>
  </si>
  <si>
    <t>Rank_hours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</si>
</sst>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9606B-0A6A-4ABB-AA0B-76DACE920DF3}">
  <dimension ref="A1:AQ69"/>
  <sheetViews>
    <sheetView tabSelected="1" topLeftCell="A13" workbookViewId="0">
      <selection activeCell="C2" sqref="C2:C69"/>
    </sheetView>
  </sheetViews>
  <sheetFormatPr baseColWidth="10" defaultRowHeight="14.5" x14ac:dyDescent="0.35"/>
  <cols>
    <col min="1" max="1" width="5.6328125" bestFit="1" customWidth="1"/>
    <col min="2" max="2" width="2.81640625" bestFit="1" customWidth="1"/>
    <col min="3" max="3" width="6.6328125" customWidth="1"/>
    <col min="4" max="4" width="8" customWidth="1"/>
    <col min="10" max="10" width="4.6328125" bestFit="1" customWidth="1"/>
    <col min="11" max="11" width="5.08984375" bestFit="1" customWidth="1"/>
    <col min="12" max="12" width="9.36328125" bestFit="1" customWidth="1"/>
    <col min="13" max="13" width="10.7265625" bestFit="1" customWidth="1"/>
    <col min="14" max="14" width="12.81640625" bestFit="1" customWidth="1"/>
    <col min="17" max="19" width="4.26953125" bestFit="1" customWidth="1"/>
    <col min="20" max="20" width="3.36328125" bestFit="1" customWidth="1"/>
    <col min="21" max="23" width="3.90625" bestFit="1" customWidth="1"/>
    <col min="24" max="24" width="9.7265625" bestFit="1" customWidth="1"/>
    <col min="25" max="27" width="4.36328125" bestFit="1" customWidth="1"/>
    <col min="28" max="28" width="11.08984375" bestFit="1" customWidth="1"/>
    <col min="29" max="31" width="4.7265625" bestFit="1" customWidth="1"/>
    <col min="32" max="32" width="3.7265625" bestFit="1" customWidth="1"/>
    <col min="33" max="35" width="4.6328125" bestFit="1" customWidth="1"/>
    <col min="36" max="36" width="7.1796875" bestFit="1" customWidth="1"/>
    <col min="37" max="39" width="7.453125" bestFit="1" customWidth="1"/>
    <col min="40" max="40" width="6.453125" bestFit="1" customWidth="1"/>
    <col min="41" max="41" width="4.36328125" bestFit="1" customWidth="1"/>
    <col min="42" max="48" width="3.36328125" bestFit="1" customWidth="1"/>
    <col min="49" max="54" width="1.81640625" bestFit="1" customWidth="1"/>
    <col min="55" max="55" width="4.1796875" customWidth="1"/>
    <col min="56" max="56" width="2.81640625" bestFit="1" customWidth="1"/>
    <col min="57" max="57" width="1.81640625" bestFit="1" customWidth="1"/>
    <col min="58" max="58" width="2.81640625" bestFit="1" customWidth="1"/>
    <col min="59" max="62" width="1.81640625" bestFit="1" customWidth="1"/>
  </cols>
  <sheetData>
    <row r="1" spans="1:43" x14ac:dyDescent="0.35">
      <c r="A1" t="s">
        <v>0</v>
      </c>
      <c r="B1" t="s">
        <v>1</v>
      </c>
      <c r="C1" t="s">
        <v>2</v>
      </c>
      <c r="D1" t="s">
        <v>256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Q1" t="s">
        <v>257</v>
      </c>
    </row>
    <row r="2" spans="1:43" x14ac:dyDescent="0.35">
      <c r="A2" t="s">
        <v>39</v>
      </c>
      <c r="B2">
        <v>3</v>
      </c>
      <c r="C2" t="s">
        <v>40</v>
      </c>
      <c r="D2">
        <v>2</v>
      </c>
      <c r="E2">
        <v>2</v>
      </c>
      <c r="F2">
        <v>2</v>
      </c>
      <c r="G2">
        <v>24</v>
      </c>
      <c r="H2">
        <v>1.6</v>
      </c>
      <c r="I2" t="s">
        <v>42</v>
      </c>
      <c r="J2">
        <v>0</v>
      </c>
      <c r="K2">
        <v>2</v>
      </c>
      <c r="L2" t="s">
        <v>43</v>
      </c>
      <c r="M2">
        <v>2</v>
      </c>
      <c r="N2">
        <v>4</v>
      </c>
      <c r="O2">
        <v>0</v>
      </c>
      <c r="P2">
        <v>0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46</v>
      </c>
      <c r="X2" t="s">
        <v>50</v>
      </c>
      <c r="Y2" t="s">
        <v>51</v>
      </c>
      <c r="Z2" t="s">
        <v>49</v>
      </c>
      <c r="AA2" t="s">
        <v>46</v>
      </c>
      <c r="AB2" t="s">
        <v>52</v>
      </c>
      <c r="AC2" t="s">
        <v>53</v>
      </c>
      <c r="AD2" t="s">
        <v>54</v>
      </c>
      <c r="AE2" t="s">
        <v>46</v>
      </c>
      <c r="AF2" t="s">
        <v>55</v>
      </c>
      <c r="AG2">
        <v>3</v>
      </c>
      <c r="AH2">
        <v>0</v>
      </c>
      <c r="AI2">
        <v>0</v>
      </c>
      <c r="AJ2">
        <v>3</v>
      </c>
      <c r="AK2">
        <v>6</v>
      </c>
      <c r="AL2">
        <v>0</v>
      </c>
      <c r="AM2">
        <v>0</v>
      </c>
      <c r="AN2">
        <v>6</v>
      </c>
      <c r="AQ2">
        <f>_xlfn.RANK.AVG(H2,$H$2:$H$69)</f>
        <v>21.5</v>
      </c>
    </row>
    <row r="3" spans="1:43" x14ac:dyDescent="0.35">
      <c r="A3" t="s">
        <v>56</v>
      </c>
      <c r="B3">
        <v>3</v>
      </c>
      <c r="C3" t="s">
        <v>57</v>
      </c>
      <c r="D3">
        <v>1</v>
      </c>
      <c r="E3">
        <v>2</v>
      </c>
      <c r="F3">
        <v>1</v>
      </c>
      <c r="G3">
        <v>16</v>
      </c>
      <c r="H3">
        <v>1.3</v>
      </c>
      <c r="I3" t="s">
        <v>59</v>
      </c>
      <c r="J3">
        <v>1</v>
      </c>
      <c r="K3">
        <v>3</v>
      </c>
      <c r="L3" t="s">
        <v>60</v>
      </c>
      <c r="M3">
        <v>3</v>
      </c>
      <c r="N3">
        <v>0</v>
      </c>
      <c r="O3">
        <v>0</v>
      </c>
      <c r="P3">
        <v>0</v>
      </c>
      <c r="Q3" t="s">
        <v>61</v>
      </c>
      <c r="R3" t="s">
        <v>45</v>
      </c>
      <c r="S3" t="s">
        <v>46</v>
      </c>
      <c r="T3" t="s">
        <v>62</v>
      </c>
      <c r="U3" t="s">
        <v>63</v>
      </c>
      <c r="V3" t="s">
        <v>60</v>
      </c>
      <c r="W3" t="s">
        <v>46</v>
      </c>
      <c r="X3" t="s">
        <v>64</v>
      </c>
      <c r="Y3" t="s">
        <v>65</v>
      </c>
      <c r="Z3" t="s">
        <v>66</v>
      </c>
      <c r="AA3" t="s">
        <v>46</v>
      </c>
      <c r="AB3" t="s">
        <v>63</v>
      </c>
      <c r="AC3" t="s">
        <v>60</v>
      </c>
      <c r="AD3" t="s">
        <v>67</v>
      </c>
      <c r="AE3" t="s">
        <v>46</v>
      </c>
      <c r="AF3" t="s">
        <v>62</v>
      </c>
      <c r="AG3">
        <v>1</v>
      </c>
      <c r="AH3">
        <v>0</v>
      </c>
      <c r="AI3">
        <v>0</v>
      </c>
      <c r="AJ3">
        <v>1</v>
      </c>
      <c r="AK3">
        <v>2</v>
      </c>
      <c r="AL3">
        <v>1</v>
      </c>
      <c r="AM3">
        <v>0</v>
      </c>
      <c r="AN3">
        <v>3</v>
      </c>
      <c r="AQ3">
        <f t="shared" ref="AQ3:AQ66" si="0">_xlfn.RANK.AVG(H3,$H$2:$H$69)</f>
        <v>35.5</v>
      </c>
    </row>
    <row r="4" spans="1:43" x14ac:dyDescent="0.35">
      <c r="A4" t="s">
        <v>68</v>
      </c>
      <c r="B4">
        <v>5</v>
      </c>
      <c r="C4" t="s">
        <v>40</v>
      </c>
      <c r="D4">
        <v>2</v>
      </c>
      <c r="E4">
        <v>2</v>
      </c>
      <c r="F4">
        <v>2</v>
      </c>
      <c r="G4">
        <v>30</v>
      </c>
      <c r="H4">
        <v>1.5</v>
      </c>
      <c r="I4" t="s">
        <v>69</v>
      </c>
      <c r="J4">
        <v>0</v>
      </c>
      <c r="K4">
        <v>1</v>
      </c>
      <c r="L4" t="s">
        <v>70</v>
      </c>
      <c r="M4">
        <v>0</v>
      </c>
      <c r="N4">
        <v>11</v>
      </c>
      <c r="O4">
        <v>0</v>
      </c>
      <c r="P4">
        <v>2</v>
      </c>
      <c r="Q4" t="s">
        <v>71</v>
      </c>
      <c r="R4" t="s">
        <v>72</v>
      </c>
      <c r="S4" t="s">
        <v>46</v>
      </c>
      <c r="T4" t="s">
        <v>52</v>
      </c>
      <c r="U4" t="s">
        <v>73</v>
      </c>
      <c r="V4" t="s">
        <v>74</v>
      </c>
      <c r="W4" t="s">
        <v>46</v>
      </c>
      <c r="X4" t="s">
        <v>75</v>
      </c>
      <c r="Y4" t="s">
        <v>73</v>
      </c>
      <c r="Z4" t="s">
        <v>76</v>
      </c>
      <c r="AA4" t="s">
        <v>46</v>
      </c>
      <c r="AB4" t="s">
        <v>48</v>
      </c>
      <c r="AC4" t="s">
        <v>60</v>
      </c>
      <c r="AD4" t="s">
        <v>77</v>
      </c>
      <c r="AE4" t="s">
        <v>46</v>
      </c>
      <c r="AF4" t="s">
        <v>78</v>
      </c>
      <c r="AG4">
        <v>0</v>
      </c>
      <c r="AH4">
        <v>0</v>
      </c>
      <c r="AI4">
        <v>0</v>
      </c>
      <c r="AJ4">
        <v>0</v>
      </c>
      <c r="AK4">
        <v>0</v>
      </c>
      <c r="AL4">
        <v>4</v>
      </c>
      <c r="AM4">
        <v>0</v>
      </c>
      <c r="AN4">
        <v>4</v>
      </c>
      <c r="AQ4">
        <f t="shared" si="0"/>
        <v>26</v>
      </c>
    </row>
    <row r="5" spans="1:43" x14ac:dyDescent="0.35">
      <c r="A5" t="s">
        <v>79</v>
      </c>
      <c r="B5">
        <v>5</v>
      </c>
      <c r="C5" t="s">
        <v>57</v>
      </c>
      <c r="D5">
        <v>1</v>
      </c>
      <c r="E5">
        <v>2</v>
      </c>
      <c r="F5">
        <v>1</v>
      </c>
      <c r="G5">
        <v>28</v>
      </c>
      <c r="H5">
        <v>2</v>
      </c>
      <c r="I5" t="s">
        <v>80</v>
      </c>
      <c r="J5">
        <v>0</v>
      </c>
      <c r="K5">
        <v>22</v>
      </c>
      <c r="L5" t="s">
        <v>81</v>
      </c>
      <c r="M5">
        <v>4</v>
      </c>
      <c r="N5">
        <v>0</v>
      </c>
      <c r="O5">
        <v>2</v>
      </c>
      <c r="P5">
        <v>0</v>
      </c>
      <c r="Q5" t="s">
        <v>82</v>
      </c>
      <c r="R5" t="s">
        <v>83</v>
      </c>
      <c r="S5" t="s">
        <v>46</v>
      </c>
      <c r="T5" t="s">
        <v>54</v>
      </c>
      <c r="U5" t="s">
        <v>67</v>
      </c>
      <c r="V5" t="s">
        <v>84</v>
      </c>
      <c r="W5" t="s">
        <v>46</v>
      </c>
      <c r="X5" t="s">
        <v>85</v>
      </c>
      <c r="Y5" t="s">
        <v>67</v>
      </c>
      <c r="Z5" t="s">
        <v>84</v>
      </c>
      <c r="AA5" t="s">
        <v>46</v>
      </c>
      <c r="AB5" t="s">
        <v>85</v>
      </c>
      <c r="AC5" t="s">
        <v>54</v>
      </c>
      <c r="AD5" t="s">
        <v>66</v>
      </c>
      <c r="AE5" t="s">
        <v>46</v>
      </c>
      <c r="AF5" t="s">
        <v>86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Q5">
        <f t="shared" si="0"/>
        <v>9</v>
      </c>
    </row>
    <row r="6" spans="1:43" x14ac:dyDescent="0.35">
      <c r="A6" t="s">
        <v>87</v>
      </c>
      <c r="B6">
        <v>6</v>
      </c>
      <c r="C6" t="s">
        <v>40</v>
      </c>
      <c r="D6">
        <v>1</v>
      </c>
      <c r="E6">
        <v>3</v>
      </c>
      <c r="F6">
        <v>2</v>
      </c>
      <c r="G6">
        <v>8</v>
      </c>
      <c r="H6">
        <v>0.8</v>
      </c>
      <c r="I6" t="s">
        <v>88</v>
      </c>
      <c r="J6">
        <v>3</v>
      </c>
      <c r="K6">
        <v>13</v>
      </c>
      <c r="L6" t="s">
        <v>89</v>
      </c>
      <c r="M6">
        <v>0</v>
      </c>
      <c r="N6">
        <v>11</v>
      </c>
      <c r="O6">
        <v>0</v>
      </c>
      <c r="P6">
        <v>0</v>
      </c>
      <c r="Q6" t="s">
        <v>90</v>
      </c>
      <c r="R6" t="s">
        <v>91</v>
      </c>
      <c r="S6" t="s">
        <v>43</v>
      </c>
      <c r="T6" t="s">
        <v>92</v>
      </c>
      <c r="U6" t="s">
        <v>93</v>
      </c>
      <c r="V6" t="s">
        <v>93</v>
      </c>
      <c r="W6" t="s">
        <v>94</v>
      </c>
      <c r="X6" t="s">
        <v>95</v>
      </c>
      <c r="Y6" t="s">
        <v>43</v>
      </c>
      <c r="Z6" t="s">
        <v>46</v>
      </c>
      <c r="AA6" t="s">
        <v>96</v>
      </c>
      <c r="AB6" t="s">
        <v>97</v>
      </c>
      <c r="AC6" t="s">
        <v>76</v>
      </c>
      <c r="AD6" t="s">
        <v>98</v>
      </c>
      <c r="AE6" t="s">
        <v>99</v>
      </c>
      <c r="AF6" t="s">
        <v>100</v>
      </c>
      <c r="AG6">
        <v>0</v>
      </c>
      <c r="AH6">
        <v>0</v>
      </c>
      <c r="AI6">
        <v>0</v>
      </c>
      <c r="AJ6">
        <v>0</v>
      </c>
      <c r="AK6">
        <v>5</v>
      </c>
      <c r="AL6">
        <v>6</v>
      </c>
      <c r="AM6">
        <v>2</v>
      </c>
      <c r="AN6">
        <v>13</v>
      </c>
      <c r="AQ6">
        <f t="shared" si="0"/>
        <v>62</v>
      </c>
    </row>
    <row r="7" spans="1:43" x14ac:dyDescent="0.35">
      <c r="A7" t="s">
        <v>101</v>
      </c>
      <c r="B7">
        <v>6</v>
      </c>
      <c r="C7" t="s">
        <v>57</v>
      </c>
      <c r="D7">
        <v>2</v>
      </c>
      <c r="E7">
        <v>3</v>
      </c>
      <c r="F7">
        <v>1</v>
      </c>
      <c r="G7">
        <v>23</v>
      </c>
      <c r="H7">
        <v>1</v>
      </c>
      <c r="I7" t="s">
        <v>102</v>
      </c>
      <c r="J7">
        <v>3</v>
      </c>
      <c r="K7">
        <v>14</v>
      </c>
      <c r="L7" t="s">
        <v>103</v>
      </c>
      <c r="M7">
        <v>4</v>
      </c>
      <c r="N7">
        <v>0</v>
      </c>
      <c r="O7">
        <v>3</v>
      </c>
      <c r="P7">
        <v>0</v>
      </c>
      <c r="Q7" t="s">
        <v>104</v>
      </c>
      <c r="R7" t="s">
        <v>83</v>
      </c>
      <c r="S7" t="s">
        <v>46</v>
      </c>
      <c r="T7" t="s">
        <v>91</v>
      </c>
      <c r="U7" t="s">
        <v>105</v>
      </c>
      <c r="V7" t="s">
        <v>71</v>
      </c>
      <c r="W7" t="s">
        <v>84</v>
      </c>
      <c r="X7" t="s">
        <v>106</v>
      </c>
      <c r="Y7" t="s">
        <v>84</v>
      </c>
      <c r="Z7" t="s">
        <v>46</v>
      </c>
      <c r="AA7" t="s">
        <v>84</v>
      </c>
      <c r="AB7" t="s">
        <v>105</v>
      </c>
      <c r="AC7" t="s">
        <v>67</v>
      </c>
      <c r="AD7" t="s">
        <v>85</v>
      </c>
      <c r="AE7" t="s">
        <v>84</v>
      </c>
      <c r="AF7" t="s">
        <v>107</v>
      </c>
      <c r="AG7">
        <v>0</v>
      </c>
      <c r="AH7">
        <v>0</v>
      </c>
      <c r="AI7">
        <v>0</v>
      </c>
      <c r="AJ7">
        <v>0</v>
      </c>
      <c r="AK7">
        <v>1</v>
      </c>
      <c r="AL7">
        <v>3</v>
      </c>
      <c r="AM7">
        <v>0</v>
      </c>
      <c r="AN7">
        <v>4</v>
      </c>
      <c r="AQ7">
        <f t="shared" si="0"/>
        <v>50</v>
      </c>
    </row>
    <row r="8" spans="1:43" x14ac:dyDescent="0.35">
      <c r="A8" t="s">
        <v>108</v>
      </c>
      <c r="B8">
        <v>7</v>
      </c>
      <c r="C8" t="s">
        <v>40</v>
      </c>
      <c r="D8">
        <v>2</v>
      </c>
      <c r="E8">
        <v>4</v>
      </c>
      <c r="F8">
        <v>1</v>
      </c>
      <c r="G8">
        <v>21</v>
      </c>
      <c r="H8">
        <v>1.8</v>
      </c>
      <c r="I8" t="s">
        <v>109</v>
      </c>
      <c r="J8">
        <v>0</v>
      </c>
      <c r="K8">
        <v>8</v>
      </c>
      <c r="L8" t="s">
        <v>110</v>
      </c>
      <c r="M8">
        <v>4</v>
      </c>
      <c r="N8">
        <v>1</v>
      </c>
      <c r="O8">
        <v>1</v>
      </c>
      <c r="P8">
        <v>0</v>
      </c>
      <c r="Q8" t="s">
        <v>111</v>
      </c>
      <c r="R8" t="s">
        <v>112</v>
      </c>
      <c r="S8" t="s">
        <v>112</v>
      </c>
      <c r="T8" t="s">
        <v>60</v>
      </c>
      <c r="U8" t="s">
        <v>113</v>
      </c>
      <c r="V8" t="s">
        <v>114</v>
      </c>
      <c r="W8" t="s">
        <v>41</v>
      </c>
      <c r="X8" t="s">
        <v>115</v>
      </c>
      <c r="Y8" t="s">
        <v>116</v>
      </c>
      <c r="Z8" t="s">
        <v>114</v>
      </c>
      <c r="AA8" t="s">
        <v>41</v>
      </c>
      <c r="AB8" t="s">
        <v>107</v>
      </c>
      <c r="AC8" t="s">
        <v>67</v>
      </c>
      <c r="AD8" t="s">
        <v>67</v>
      </c>
      <c r="AE8" t="s">
        <v>117</v>
      </c>
      <c r="AF8" t="s">
        <v>118</v>
      </c>
      <c r="AG8">
        <v>2</v>
      </c>
      <c r="AH8">
        <v>0</v>
      </c>
      <c r="AI8">
        <v>0</v>
      </c>
      <c r="AJ8">
        <v>2</v>
      </c>
      <c r="AK8">
        <v>1</v>
      </c>
      <c r="AL8">
        <v>0</v>
      </c>
      <c r="AM8">
        <v>0</v>
      </c>
      <c r="AN8">
        <v>1</v>
      </c>
      <c r="AQ8">
        <f t="shared" si="0"/>
        <v>14</v>
      </c>
    </row>
    <row r="9" spans="1:43" x14ac:dyDescent="0.35">
      <c r="A9" t="s">
        <v>119</v>
      </c>
      <c r="B9">
        <v>7</v>
      </c>
      <c r="C9" t="s">
        <v>57</v>
      </c>
      <c r="D9">
        <v>1</v>
      </c>
      <c r="E9">
        <v>4</v>
      </c>
      <c r="F9">
        <v>2</v>
      </c>
      <c r="G9">
        <v>36</v>
      </c>
      <c r="H9">
        <v>3.1</v>
      </c>
      <c r="I9" t="s">
        <v>109</v>
      </c>
      <c r="J9">
        <v>0</v>
      </c>
      <c r="K9">
        <v>4</v>
      </c>
      <c r="L9" t="s">
        <v>58</v>
      </c>
      <c r="M9">
        <v>1</v>
      </c>
      <c r="N9">
        <v>11</v>
      </c>
      <c r="O9">
        <v>0</v>
      </c>
      <c r="P9">
        <v>2</v>
      </c>
      <c r="Q9" t="s">
        <v>92</v>
      </c>
      <c r="R9" t="s">
        <v>120</v>
      </c>
      <c r="S9" t="s">
        <v>99</v>
      </c>
      <c r="T9" t="s">
        <v>121</v>
      </c>
      <c r="U9" t="s">
        <v>99</v>
      </c>
      <c r="V9" t="s">
        <v>61</v>
      </c>
      <c r="W9" t="s">
        <v>122</v>
      </c>
      <c r="X9" t="s">
        <v>123</v>
      </c>
      <c r="Y9" t="s">
        <v>105</v>
      </c>
      <c r="Z9" t="s">
        <v>105</v>
      </c>
      <c r="AA9" t="s">
        <v>124</v>
      </c>
      <c r="AB9" t="s">
        <v>92</v>
      </c>
      <c r="AC9" t="s">
        <v>86</v>
      </c>
      <c r="AD9" t="s">
        <v>97</v>
      </c>
      <c r="AE9" t="s">
        <v>67</v>
      </c>
      <c r="AF9" t="s">
        <v>125</v>
      </c>
      <c r="AG9">
        <v>2</v>
      </c>
      <c r="AH9">
        <v>4</v>
      </c>
      <c r="AI9">
        <v>1</v>
      </c>
      <c r="AJ9">
        <v>7</v>
      </c>
      <c r="AK9">
        <v>1</v>
      </c>
      <c r="AL9">
        <v>5</v>
      </c>
      <c r="AM9">
        <v>1</v>
      </c>
      <c r="AN9">
        <v>7</v>
      </c>
      <c r="AQ9">
        <f t="shared" si="0"/>
        <v>4.5</v>
      </c>
    </row>
    <row r="10" spans="1:43" x14ac:dyDescent="0.35">
      <c r="A10" t="s">
        <v>126</v>
      </c>
      <c r="B10">
        <v>8</v>
      </c>
      <c r="C10" t="s">
        <v>40</v>
      </c>
      <c r="D10">
        <v>1</v>
      </c>
      <c r="E10">
        <v>1</v>
      </c>
      <c r="F10">
        <v>1</v>
      </c>
      <c r="G10">
        <v>32</v>
      </c>
      <c r="H10">
        <v>1.8</v>
      </c>
      <c r="I10" t="s">
        <v>127</v>
      </c>
      <c r="J10">
        <v>8</v>
      </c>
      <c r="K10">
        <v>32</v>
      </c>
      <c r="L10" t="s">
        <v>127</v>
      </c>
      <c r="M10">
        <v>7</v>
      </c>
      <c r="N10">
        <v>0</v>
      </c>
      <c r="O10">
        <v>1</v>
      </c>
      <c r="P10">
        <v>0</v>
      </c>
      <c r="Q10" t="s">
        <v>47</v>
      </c>
      <c r="R10" t="s">
        <v>122</v>
      </c>
      <c r="S10" t="s">
        <v>112</v>
      </c>
      <c r="T10" t="s">
        <v>128</v>
      </c>
      <c r="U10" t="s">
        <v>129</v>
      </c>
      <c r="V10" t="s">
        <v>60</v>
      </c>
      <c r="W10" t="s">
        <v>117</v>
      </c>
      <c r="X10" t="s">
        <v>120</v>
      </c>
      <c r="Y10" t="s">
        <v>98</v>
      </c>
      <c r="Z10" t="s">
        <v>60</v>
      </c>
      <c r="AA10" t="s">
        <v>117</v>
      </c>
      <c r="AB10" t="s">
        <v>52</v>
      </c>
      <c r="AC10" t="s">
        <v>71</v>
      </c>
      <c r="AD10" t="s">
        <v>67</v>
      </c>
      <c r="AE10" t="s">
        <v>117</v>
      </c>
      <c r="AF10" t="s">
        <v>130</v>
      </c>
      <c r="AG10">
        <v>1</v>
      </c>
      <c r="AH10">
        <v>0</v>
      </c>
      <c r="AI10">
        <v>0</v>
      </c>
      <c r="AJ10">
        <v>1</v>
      </c>
      <c r="AK10">
        <v>6</v>
      </c>
      <c r="AL10">
        <v>0</v>
      </c>
      <c r="AM10">
        <v>0</v>
      </c>
      <c r="AN10">
        <v>6</v>
      </c>
      <c r="AQ10">
        <f t="shared" si="0"/>
        <v>14</v>
      </c>
    </row>
    <row r="11" spans="1:43" x14ac:dyDescent="0.35">
      <c r="A11" t="s">
        <v>131</v>
      </c>
      <c r="B11">
        <v>8</v>
      </c>
      <c r="C11" t="s">
        <v>57</v>
      </c>
      <c r="D11">
        <v>2</v>
      </c>
      <c r="E11">
        <v>1</v>
      </c>
      <c r="F11">
        <v>2</v>
      </c>
      <c r="G11">
        <v>11</v>
      </c>
      <c r="H11">
        <v>1</v>
      </c>
      <c r="I11" t="s">
        <v>132</v>
      </c>
      <c r="J11">
        <v>6</v>
      </c>
      <c r="K11">
        <v>10</v>
      </c>
      <c r="L11" t="s">
        <v>75</v>
      </c>
      <c r="M11">
        <v>0</v>
      </c>
      <c r="N11">
        <v>6</v>
      </c>
      <c r="O11">
        <v>0</v>
      </c>
      <c r="P11">
        <v>2</v>
      </c>
      <c r="Q11" t="s">
        <v>112</v>
      </c>
      <c r="R11" t="s">
        <v>105</v>
      </c>
      <c r="S11" t="s">
        <v>46</v>
      </c>
      <c r="T11" t="s">
        <v>111</v>
      </c>
      <c r="U11" t="s">
        <v>67</v>
      </c>
      <c r="V11" t="s">
        <v>107</v>
      </c>
      <c r="W11" t="s">
        <v>46</v>
      </c>
      <c r="X11" t="s">
        <v>44</v>
      </c>
      <c r="Y11" t="s">
        <v>67</v>
      </c>
      <c r="Z11" t="s">
        <v>85</v>
      </c>
      <c r="AA11" t="s">
        <v>46</v>
      </c>
      <c r="AB11" t="s">
        <v>133</v>
      </c>
      <c r="AC11" t="s">
        <v>66</v>
      </c>
      <c r="AD11" t="s">
        <v>76</v>
      </c>
      <c r="AE11" t="s">
        <v>46</v>
      </c>
      <c r="AF11" t="s">
        <v>92</v>
      </c>
      <c r="AG11">
        <v>0</v>
      </c>
      <c r="AH11">
        <v>1</v>
      </c>
      <c r="AI11">
        <v>0</v>
      </c>
      <c r="AJ11">
        <v>1</v>
      </c>
      <c r="AK11">
        <v>0</v>
      </c>
      <c r="AL11">
        <v>3</v>
      </c>
      <c r="AM11">
        <v>0</v>
      </c>
      <c r="AN11">
        <v>3</v>
      </c>
      <c r="AQ11">
        <f t="shared" si="0"/>
        <v>50</v>
      </c>
    </row>
    <row r="12" spans="1:43" x14ac:dyDescent="0.35">
      <c r="A12" t="s">
        <v>134</v>
      </c>
      <c r="B12">
        <v>9</v>
      </c>
      <c r="C12" t="s">
        <v>40</v>
      </c>
      <c r="D12">
        <v>2</v>
      </c>
      <c r="E12">
        <v>2</v>
      </c>
      <c r="F12">
        <v>2</v>
      </c>
      <c r="G12">
        <v>7</v>
      </c>
      <c r="H12">
        <v>1.2</v>
      </c>
      <c r="I12" t="s">
        <v>55</v>
      </c>
      <c r="J12">
        <v>3</v>
      </c>
      <c r="K12">
        <v>4</v>
      </c>
      <c r="L12" t="s">
        <v>135</v>
      </c>
      <c r="M12">
        <v>4</v>
      </c>
      <c r="N12">
        <v>1</v>
      </c>
      <c r="O12">
        <v>0</v>
      </c>
      <c r="P12">
        <v>0</v>
      </c>
      <c r="Q12" t="s">
        <v>66</v>
      </c>
      <c r="R12" t="s">
        <v>83</v>
      </c>
      <c r="S12" t="s">
        <v>46</v>
      </c>
      <c r="T12" t="s">
        <v>54</v>
      </c>
      <c r="U12" t="s">
        <v>136</v>
      </c>
      <c r="V12" t="s">
        <v>117</v>
      </c>
      <c r="W12" t="s">
        <v>46</v>
      </c>
      <c r="X12" t="s">
        <v>52</v>
      </c>
      <c r="Y12" t="s">
        <v>46</v>
      </c>
      <c r="Z12" t="s">
        <v>46</v>
      </c>
      <c r="AA12" t="s">
        <v>46</v>
      </c>
      <c r="AB12" t="s">
        <v>46</v>
      </c>
      <c r="AC12" t="s">
        <v>98</v>
      </c>
      <c r="AD12" t="s">
        <v>77</v>
      </c>
      <c r="AE12" t="s">
        <v>46</v>
      </c>
      <c r="AF12" t="s">
        <v>137</v>
      </c>
      <c r="AG12">
        <v>0</v>
      </c>
      <c r="AH12">
        <v>0</v>
      </c>
      <c r="AI12">
        <v>0</v>
      </c>
      <c r="AJ12">
        <v>0</v>
      </c>
      <c r="AK12">
        <v>6</v>
      </c>
      <c r="AL12">
        <v>2</v>
      </c>
      <c r="AM12">
        <v>0</v>
      </c>
      <c r="AN12">
        <v>8</v>
      </c>
      <c r="AQ12">
        <f t="shared" si="0"/>
        <v>42</v>
      </c>
    </row>
    <row r="13" spans="1:43" x14ac:dyDescent="0.35">
      <c r="A13" t="s">
        <v>138</v>
      </c>
      <c r="B13">
        <v>9</v>
      </c>
      <c r="C13" t="s">
        <v>57</v>
      </c>
      <c r="D13">
        <v>1</v>
      </c>
      <c r="E13">
        <v>2</v>
      </c>
      <c r="F13">
        <v>1</v>
      </c>
      <c r="G13">
        <v>3</v>
      </c>
      <c r="H13">
        <v>1.4</v>
      </c>
      <c r="I13" t="s">
        <v>99</v>
      </c>
      <c r="J13">
        <v>6</v>
      </c>
      <c r="K13">
        <v>1</v>
      </c>
      <c r="L13" t="s">
        <v>70</v>
      </c>
      <c r="M13">
        <v>1</v>
      </c>
      <c r="N13">
        <v>0</v>
      </c>
      <c r="O13">
        <v>2</v>
      </c>
      <c r="P13">
        <v>0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46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Q13">
        <f t="shared" si="0"/>
        <v>29.5</v>
      </c>
    </row>
    <row r="14" spans="1:43" x14ac:dyDescent="0.35">
      <c r="A14" t="s">
        <v>139</v>
      </c>
      <c r="B14">
        <v>10</v>
      </c>
      <c r="C14" t="s">
        <v>40</v>
      </c>
      <c r="D14">
        <v>1</v>
      </c>
      <c r="E14">
        <v>3</v>
      </c>
      <c r="F14">
        <v>2</v>
      </c>
      <c r="G14">
        <v>23</v>
      </c>
      <c r="H14">
        <v>1.9</v>
      </c>
      <c r="I14" t="s">
        <v>140</v>
      </c>
      <c r="J14">
        <v>2</v>
      </c>
      <c r="K14">
        <v>19</v>
      </c>
      <c r="L14" t="s">
        <v>141</v>
      </c>
      <c r="M14">
        <v>7</v>
      </c>
      <c r="N14">
        <v>6</v>
      </c>
      <c r="O14">
        <v>4</v>
      </c>
      <c r="P14">
        <v>0</v>
      </c>
      <c r="Q14" t="s">
        <v>82</v>
      </c>
      <c r="R14" t="s">
        <v>99</v>
      </c>
      <c r="S14" t="s">
        <v>46</v>
      </c>
      <c r="T14" t="s">
        <v>97</v>
      </c>
      <c r="U14" t="s">
        <v>41</v>
      </c>
      <c r="V14" t="s">
        <v>86</v>
      </c>
      <c r="W14" t="s">
        <v>46</v>
      </c>
      <c r="X14" t="s">
        <v>73</v>
      </c>
      <c r="Y14" t="s">
        <v>114</v>
      </c>
      <c r="Z14" t="s">
        <v>111</v>
      </c>
      <c r="AA14" t="s">
        <v>46</v>
      </c>
      <c r="AB14" t="s">
        <v>86</v>
      </c>
      <c r="AC14" t="s">
        <v>67</v>
      </c>
      <c r="AD14" t="s">
        <v>90</v>
      </c>
      <c r="AE14" t="s">
        <v>46</v>
      </c>
      <c r="AF14" t="s">
        <v>142</v>
      </c>
      <c r="AG14">
        <v>0</v>
      </c>
      <c r="AH14">
        <v>1</v>
      </c>
      <c r="AI14">
        <v>0</v>
      </c>
      <c r="AJ14">
        <v>1</v>
      </c>
      <c r="AK14">
        <v>1</v>
      </c>
      <c r="AL14">
        <v>2</v>
      </c>
      <c r="AM14">
        <v>0</v>
      </c>
      <c r="AN14">
        <v>3</v>
      </c>
      <c r="AQ14">
        <f t="shared" si="0"/>
        <v>11</v>
      </c>
    </row>
    <row r="15" spans="1:43" x14ac:dyDescent="0.35">
      <c r="A15" t="s">
        <v>143</v>
      </c>
      <c r="B15">
        <v>10</v>
      </c>
      <c r="C15" t="s">
        <v>57</v>
      </c>
      <c r="D15">
        <v>2</v>
      </c>
      <c r="E15">
        <v>3</v>
      </c>
      <c r="F15">
        <v>1</v>
      </c>
      <c r="G15">
        <v>16</v>
      </c>
      <c r="H15">
        <v>0.9</v>
      </c>
      <c r="I15" t="s">
        <v>145</v>
      </c>
      <c r="J15">
        <v>0</v>
      </c>
      <c r="K15">
        <v>22</v>
      </c>
      <c r="L15" t="s">
        <v>146</v>
      </c>
      <c r="M15">
        <v>3</v>
      </c>
      <c r="N15">
        <v>0</v>
      </c>
      <c r="O15">
        <v>0</v>
      </c>
      <c r="P15">
        <v>0</v>
      </c>
      <c r="Q15" t="s">
        <v>124</v>
      </c>
      <c r="R15" t="s">
        <v>124</v>
      </c>
      <c r="S15" t="s">
        <v>46</v>
      </c>
      <c r="T15" t="s">
        <v>91</v>
      </c>
      <c r="U15" t="s">
        <v>135</v>
      </c>
      <c r="V15" t="s">
        <v>135</v>
      </c>
      <c r="W15" t="s">
        <v>46</v>
      </c>
      <c r="X15" t="s">
        <v>52</v>
      </c>
      <c r="Y15" t="s">
        <v>135</v>
      </c>
      <c r="Z15" t="s">
        <v>135</v>
      </c>
      <c r="AA15" t="s">
        <v>46</v>
      </c>
      <c r="AB15" t="s">
        <v>52</v>
      </c>
      <c r="AC15" t="s">
        <v>117</v>
      </c>
      <c r="AD15" t="s">
        <v>117</v>
      </c>
      <c r="AE15" t="s">
        <v>46</v>
      </c>
      <c r="AF15" t="s">
        <v>116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Q15">
        <f t="shared" si="0"/>
        <v>56.5</v>
      </c>
    </row>
    <row r="16" spans="1:43" x14ac:dyDescent="0.35">
      <c r="A16" t="s">
        <v>147</v>
      </c>
      <c r="B16">
        <v>11</v>
      </c>
      <c r="C16" t="s">
        <v>40</v>
      </c>
      <c r="D16">
        <v>2</v>
      </c>
      <c r="E16">
        <v>4</v>
      </c>
      <c r="F16">
        <v>1</v>
      </c>
      <c r="G16">
        <v>4</v>
      </c>
      <c r="H16">
        <v>0.3</v>
      </c>
      <c r="I16" t="s">
        <v>148</v>
      </c>
      <c r="J16">
        <v>0</v>
      </c>
      <c r="K16">
        <v>4</v>
      </c>
      <c r="L16" t="s">
        <v>148</v>
      </c>
      <c r="M16">
        <v>3</v>
      </c>
      <c r="N16">
        <v>0</v>
      </c>
      <c r="O16">
        <v>0</v>
      </c>
      <c r="P16">
        <v>0</v>
      </c>
      <c r="Q16" t="s">
        <v>104</v>
      </c>
      <c r="R16" t="s">
        <v>46</v>
      </c>
      <c r="S16" t="s">
        <v>46</v>
      </c>
      <c r="T16" t="s">
        <v>104</v>
      </c>
      <c r="U16" t="s">
        <v>47</v>
      </c>
      <c r="V16" t="s">
        <v>85</v>
      </c>
      <c r="W16" t="s">
        <v>46</v>
      </c>
      <c r="X16" t="s">
        <v>148</v>
      </c>
      <c r="Y16" t="s">
        <v>85</v>
      </c>
      <c r="Z16" t="s">
        <v>85</v>
      </c>
      <c r="AA16" t="s">
        <v>46</v>
      </c>
      <c r="AB16" t="s">
        <v>55</v>
      </c>
      <c r="AC16" t="s">
        <v>60</v>
      </c>
      <c r="AD16" t="s">
        <v>84</v>
      </c>
      <c r="AE16" t="s">
        <v>46</v>
      </c>
      <c r="AF16" t="s">
        <v>116</v>
      </c>
      <c r="AG16">
        <v>0</v>
      </c>
      <c r="AH16">
        <v>0</v>
      </c>
      <c r="AI16">
        <v>0</v>
      </c>
      <c r="AJ16">
        <v>0</v>
      </c>
      <c r="AK16">
        <v>2</v>
      </c>
      <c r="AL16">
        <v>0</v>
      </c>
      <c r="AM16">
        <v>0</v>
      </c>
      <c r="AN16">
        <v>2</v>
      </c>
      <c r="AQ16">
        <f t="shared" si="0"/>
        <v>68</v>
      </c>
    </row>
    <row r="17" spans="1:43" x14ac:dyDescent="0.35">
      <c r="A17" t="s">
        <v>149</v>
      </c>
      <c r="B17">
        <v>11</v>
      </c>
      <c r="C17" t="s">
        <v>57</v>
      </c>
      <c r="D17">
        <v>1</v>
      </c>
      <c r="E17">
        <v>4</v>
      </c>
      <c r="F17">
        <v>2</v>
      </c>
      <c r="G17">
        <v>9</v>
      </c>
      <c r="H17">
        <v>0.8</v>
      </c>
      <c r="I17" t="s">
        <v>148</v>
      </c>
      <c r="J17">
        <v>0</v>
      </c>
      <c r="K17">
        <v>0</v>
      </c>
      <c r="L17" t="s">
        <v>46</v>
      </c>
      <c r="M17">
        <v>0</v>
      </c>
      <c r="N17">
        <v>3</v>
      </c>
      <c r="O17">
        <v>0</v>
      </c>
      <c r="P17">
        <v>0</v>
      </c>
      <c r="Q17" t="s">
        <v>124</v>
      </c>
      <c r="R17" t="s">
        <v>124</v>
      </c>
      <c r="S17" t="s">
        <v>46</v>
      </c>
      <c r="T17" t="s">
        <v>91</v>
      </c>
      <c r="U17" t="s">
        <v>90</v>
      </c>
      <c r="V17" t="s">
        <v>150</v>
      </c>
      <c r="W17" t="s">
        <v>46</v>
      </c>
      <c r="X17" t="s">
        <v>100</v>
      </c>
      <c r="Y17" t="s">
        <v>90</v>
      </c>
      <c r="Z17" t="s">
        <v>150</v>
      </c>
      <c r="AA17" t="s">
        <v>46</v>
      </c>
      <c r="AB17" t="s">
        <v>100</v>
      </c>
      <c r="AC17" t="s">
        <v>67</v>
      </c>
      <c r="AD17" t="s">
        <v>54</v>
      </c>
      <c r="AE17" t="s">
        <v>46</v>
      </c>
      <c r="AF17" t="s">
        <v>113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Q17">
        <f t="shared" si="0"/>
        <v>62</v>
      </c>
    </row>
    <row r="18" spans="1:43" x14ac:dyDescent="0.35">
      <c r="A18" t="s">
        <v>151</v>
      </c>
      <c r="B18">
        <v>12</v>
      </c>
      <c r="C18" t="s">
        <v>40</v>
      </c>
      <c r="D18">
        <v>1</v>
      </c>
      <c r="E18">
        <v>1</v>
      </c>
      <c r="F18">
        <v>1</v>
      </c>
      <c r="G18">
        <v>27</v>
      </c>
      <c r="H18">
        <v>1.6</v>
      </c>
      <c r="I18" t="s">
        <v>121</v>
      </c>
      <c r="J18">
        <v>0</v>
      </c>
      <c r="K18">
        <v>18</v>
      </c>
      <c r="L18" t="s">
        <v>81</v>
      </c>
      <c r="M18">
        <v>6</v>
      </c>
      <c r="N18">
        <v>0</v>
      </c>
      <c r="O18">
        <v>0</v>
      </c>
      <c r="P18">
        <v>0</v>
      </c>
      <c r="Q18" t="s">
        <v>41</v>
      </c>
      <c r="R18" t="s">
        <v>83</v>
      </c>
      <c r="S18" t="s">
        <v>46</v>
      </c>
      <c r="T18" t="s">
        <v>67</v>
      </c>
      <c r="U18" t="s">
        <v>51</v>
      </c>
      <c r="V18" t="s">
        <v>94</v>
      </c>
      <c r="W18" t="s">
        <v>46</v>
      </c>
      <c r="X18" t="s">
        <v>152</v>
      </c>
      <c r="Y18" t="s">
        <v>49</v>
      </c>
      <c r="Z18" t="s">
        <v>94</v>
      </c>
      <c r="AA18" t="s">
        <v>46</v>
      </c>
      <c r="AB18" t="s">
        <v>153</v>
      </c>
      <c r="AC18" t="s">
        <v>67</v>
      </c>
      <c r="AD18" t="s">
        <v>105</v>
      </c>
      <c r="AE18" t="s">
        <v>46</v>
      </c>
      <c r="AF18" t="s">
        <v>72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1</v>
      </c>
      <c r="AQ18">
        <f t="shared" si="0"/>
        <v>21.5</v>
      </c>
    </row>
    <row r="19" spans="1:43" x14ac:dyDescent="0.35">
      <c r="A19" t="s">
        <v>154</v>
      </c>
      <c r="B19">
        <v>12</v>
      </c>
      <c r="C19" t="s">
        <v>57</v>
      </c>
      <c r="D19">
        <v>2</v>
      </c>
      <c r="E19">
        <v>1</v>
      </c>
      <c r="F19">
        <v>2</v>
      </c>
      <c r="G19">
        <v>18</v>
      </c>
      <c r="H19">
        <v>1</v>
      </c>
      <c r="I19" t="s">
        <v>155</v>
      </c>
      <c r="J19">
        <v>0</v>
      </c>
      <c r="K19">
        <v>2</v>
      </c>
      <c r="L19" t="s">
        <v>67</v>
      </c>
      <c r="M19">
        <v>0</v>
      </c>
      <c r="N19">
        <v>0</v>
      </c>
      <c r="O19">
        <v>0</v>
      </c>
      <c r="P19">
        <v>0</v>
      </c>
      <c r="Q19" t="s">
        <v>122</v>
      </c>
      <c r="R19" t="s">
        <v>104</v>
      </c>
      <c r="S19" t="s">
        <v>46</v>
      </c>
      <c r="T19" t="s">
        <v>70</v>
      </c>
      <c r="U19" t="s">
        <v>72</v>
      </c>
      <c r="V19" t="s">
        <v>84</v>
      </c>
      <c r="W19" t="s">
        <v>46</v>
      </c>
      <c r="X19" t="s">
        <v>94</v>
      </c>
      <c r="Y19" t="s">
        <v>72</v>
      </c>
      <c r="Z19" t="s">
        <v>84</v>
      </c>
      <c r="AA19" t="s">
        <v>46</v>
      </c>
      <c r="AB19" t="s">
        <v>94</v>
      </c>
      <c r="AC19" t="s">
        <v>99</v>
      </c>
      <c r="AD19" t="s">
        <v>84</v>
      </c>
      <c r="AE19" t="s">
        <v>46</v>
      </c>
      <c r="AF19" t="s">
        <v>86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Q19">
        <f t="shared" si="0"/>
        <v>50</v>
      </c>
    </row>
    <row r="20" spans="1:43" x14ac:dyDescent="0.35">
      <c r="A20" t="s">
        <v>156</v>
      </c>
      <c r="B20">
        <v>13</v>
      </c>
      <c r="C20" t="s">
        <v>40</v>
      </c>
      <c r="D20">
        <v>2</v>
      </c>
      <c r="E20">
        <v>2</v>
      </c>
      <c r="F20">
        <v>2</v>
      </c>
      <c r="G20">
        <v>34</v>
      </c>
      <c r="H20">
        <v>1.5</v>
      </c>
      <c r="I20" t="s">
        <v>102</v>
      </c>
      <c r="J20">
        <v>0</v>
      </c>
      <c r="K20">
        <v>2</v>
      </c>
      <c r="L20" t="s">
        <v>58</v>
      </c>
      <c r="M20">
        <v>1</v>
      </c>
      <c r="N20">
        <v>6</v>
      </c>
      <c r="O20">
        <v>0</v>
      </c>
      <c r="P20">
        <v>3</v>
      </c>
      <c r="Q20" t="s">
        <v>73</v>
      </c>
      <c r="R20" t="s">
        <v>111</v>
      </c>
      <c r="S20" t="s">
        <v>46</v>
      </c>
      <c r="T20" t="s">
        <v>157</v>
      </c>
      <c r="U20" t="s">
        <v>142</v>
      </c>
      <c r="V20" t="s">
        <v>115</v>
      </c>
      <c r="W20" t="s">
        <v>46</v>
      </c>
      <c r="X20" t="s">
        <v>132</v>
      </c>
      <c r="Y20" t="s">
        <v>67</v>
      </c>
      <c r="Z20" t="s">
        <v>115</v>
      </c>
      <c r="AA20" t="s">
        <v>46</v>
      </c>
      <c r="AB20" t="s">
        <v>158</v>
      </c>
      <c r="AC20" t="s">
        <v>90</v>
      </c>
      <c r="AD20" t="s">
        <v>60</v>
      </c>
      <c r="AE20" t="s">
        <v>46</v>
      </c>
      <c r="AF20" t="s">
        <v>94</v>
      </c>
      <c r="AG20">
        <v>2</v>
      </c>
      <c r="AH20">
        <v>0</v>
      </c>
      <c r="AI20">
        <v>0</v>
      </c>
      <c r="AJ20">
        <v>2</v>
      </c>
      <c r="AK20">
        <v>4</v>
      </c>
      <c r="AL20">
        <v>0</v>
      </c>
      <c r="AM20">
        <v>0</v>
      </c>
      <c r="AN20">
        <v>4</v>
      </c>
      <c r="AQ20">
        <f t="shared" si="0"/>
        <v>26</v>
      </c>
    </row>
    <row r="21" spans="1:43" x14ac:dyDescent="0.35">
      <c r="A21" t="s">
        <v>159</v>
      </c>
      <c r="B21">
        <v>13</v>
      </c>
      <c r="C21" t="s">
        <v>57</v>
      </c>
      <c r="D21">
        <v>1</v>
      </c>
      <c r="E21">
        <v>2</v>
      </c>
      <c r="F21">
        <v>1</v>
      </c>
      <c r="G21">
        <v>18</v>
      </c>
      <c r="H21">
        <v>1.2</v>
      </c>
      <c r="I21" t="s">
        <v>160</v>
      </c>
      <c r="J21">
        <v>1</v>
      </c>
      <c r="K21">
        <v>9</v>
      </c>
      <c r="L21" t="s">
        <v>161</v>
      </c>
      <c r="M21">
        <v>3</v>
      </c>
      <c r="N21">
        <v>0</v>
      </c>
      <c r="O21">
        <v>0</v>
      </c>
      <c r="P21">
        <v>0</v>
      </c>
      <c r="Q21" t="s">
        <v>83</v>
      </c>
      <c r="R21" t="s">
        <v>104</v>
      </c>
      <c r="S21" t="s">
        <v>46</v>
      </c>
      <c r="T21" t="s">
        <v>122</v>
      </c>
      <c r="U21" t="s">
        <v>90</v>
      </c>
      <c r="V21" t="s">
        <v>117</v>
      </c>
      <c r="W21" t="s">
        <v>46</v>
      </c>
      <c r="X21" t="s">
        <v>62</v>
      </c>
      <c r="Y21" t="s">
        <v>117</v>
      </c>
      <c r="Z21" t="s">
        <v>117</v>
      </c>
      <c r="AA21" t="s">
        <v>46</v>
      </c>
      <c r="AB21" t="s">
        <v>135</v>
      </c>
      <c r="AC21" t="s">
        <v>67</v>
      </c>
      <c r="AD21" t="s">
        <v>66</v>
      </c>
      <c r="AE21" t="s">
        <v>46</v>
      </c>
      <c r="AF21" t="s">
        <v>61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1</v>
      </c>
      <c r="AQ21">
        <f t="shared" si="0"/>
        <v>42</v>
      </c>
    </row>
    <row r="22" spans="1:43" x14ac:dyDescent="0.35">
      <c r="A22" t="s">
        <v>162</v>
      </c>
      <c r="B22">
        <v>14</v>
      </c>
      <c r="C22" t="s">
        <v>40</v>
      </c>
      <c r="D22">
        <v>1</v>
      </c>
      <c r="E22">
        <v>3</v>
      </c>
      <c r="F22">
        <v>2</v>
      </c>
      <c r="G22">
        <v>12</v>
      </c>
      <c r="H22">
        <v>1.7</v>
      </c>
      <c r="I22" t="s">
        <v>163</v>
      </c>
      <c r="J22">
        <v>0</v>
      </c>
      <c r="K22">
        <v>2</v>
      </c>
      <c r="L22" t="s">
        <v>43</v>
      </c>
      <c r="M22">
        <v>2</v>
      </c>
      <c r="N22">
        <v>2</v>
      </c>
      <c r="O22">
        <v>0</v>
      </c>
      <c r="P22">
        <v>0</v>
      </c>
      <c r="Q22" t="s">
        <v>144</v>
      </c>
      <c r="R22" t="s">
        <v>45</v>
      </c>
      <c r="S22" t="s">
        <v>46</v>
      </c>
      <c r="T22" t="s">
        <v>41</v>
      </c>
      <c r="U22" t="s">
        <v>43</v>
      </c>
      <c r="V22" t="s">
        <v>43</v>
      </c>
      <c r="W22" t="s">
        <v>46</v>
      </c>
      <c r="X22" t="s">
        <v>96</v>
      </c>
      <c r="Y22" t="s">
        <v>43</v>
      </c>
      <c r="Z22" t="s">
        <v>43</v>
      </c>
      <c r="AA22" t="s">
        <v>46</v>
      </c>
      <c r="AB22" t="s">
        <v>96</v>
      </c>
      <c r="AC22" t="s">
        <v>66</v>
      </c>
      <c r="AD22" t="s">
        <v>66</v>
      </c>
      <c r="AE22" t="s">
        <v>46</v>
      </c>
      <c r="AF22" t="s">
        <v>85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Q22">
        <f t="shared" si="0"/>
        <v>17</v>
      </c>
    </row>
    <row r="23" spans="1:43" x14ac:dyDescent="0.35">
      <c r="A23" t="s">
        <v>164</v>
      </c>
      <c r="B23">
        <v>14</v>
      </c>
      <c r="C23" t="s">
        <v>57</v>
      </c>
      <c r="D23">
        <v>2</v>
      </c>
      <c r="E23">
        <v>3</v>
      </c>
      <c r="F23">
        <v>1</v>
      </c>
      <c r="G23">
        <v>4</v>
      </c>
      <c r="H23">
        <v>0.6</v>
      </c>
      <c r="I23" t="s">
        <v>129</v>
      </c>
      <c r="J23">
        <v>0</v>
      </c>
      <c r="K23">
        <v>0</v>
      </c>
      <c r="L23" t="s">
        <v>46</v>
      </c>
      <c r="M23">
        <v>0</v>
      </c>
      <c r="N23">
        <v>0</v>
      </c>
      <c r="O23">
        <v>0</v>
      </c>
      <c r="P23">
        <v>0</v>
      </c>
      <c r="Q23" t="s">
        <v>112</v>
      </c>
      <c r="R23" t="s">
        <v>46</v>
      </c>
      <c r="S23" t="s">
        <v>46</v>
      </c>
      <c r="T23" t="s">
        <v>112</v>
      </c>
      <c r="U23" t="s">
        <v>66</v>
      </c>
      <c r="V23" t="s">
        <v>46</v>
      </c>
      <c r="W23" t="s">
        <v>46</v>
      </c>
      <c r="X23" t="s">
        <v>66</v>
      </c>
      <c r="Y23" t="s">
        <v>46</v>
      </c>
      <c r="Z23" t="s">
        <v>46</v>
      </c>
      <c r="AA23" t="s">
        <v>46</v>
      </c>
      <c r="AB23" t="s">
        <v>46</v>
      </c>
      <c r="AC23" t="s">
        <v>67</v>
      </c>
      <c r="AD23" t="s">
        <v>46</v>
      </c>
      <c r="AE23" t="s">
        <v>46</v>
      </c>
      <c r="AF23" t="s">
        <v>67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1</v>
      </c>
      <c r="AQ23">
        <f t="shared" si="0"/>
        <v>67</v>
      </c>
    </row>
    <row r="24" spans="1:43" x14ac:dyDescent="0.35">
      <c r="A24" t="s">
        <v>165</v>
      </c>
      <c r="B24">
        <v>15</v>
      </c>
      <c r="C24" t="s">
        <v>40</v>
      </c>
      <c r="D24">
        <v>2</v>
      </c>
      <c r="E24">
        <v>4</v>
      </c>
      <c r="F24">
        <v>1</v>
      </c>
      <c r="G24">
        <v>15</v>
      </c>
      <c r="H24">
        <v>1.4</v>
      </c>
      <c r="I24" t="s">
        <v>166</v>
      </c>
      <c r="J24">
        <v>0</v>
      </c>
      <c r="K24">
        <v>11</v>
      </c>
      <c r="L24" t="s">
        <v>167</v>
      </c>
      <c r="M24">
        <v>3</v>
      </c>
      <c r="N24">
        <v>1</v>
      </c>
      <c r="O24">
        <v>0</v>
      </c>
      <c r="P24">
        <v>2</v>
      </c>
      <c r="Q24" t="s">
        <v>71</v>
      </c>
      <c r="R24" t="s">
        <v>124</v>
      </c>
      <c r="S24" t="s">
        <v>104</v>
      </c>
      <c r="T24" t="s">
        <v>61</v>
      </c>
      <c r="U24" t="s">
        <v>71</v>
      </c>
      <c r="V24" t="s">
        <v>111</v>
      </c>
      <c r="W24" t="s">
        <v>70</v>
      </c>
      <c r="X24" t="s">
        <v>118</v>
      </c>
      <c r="Y24" t="s">
        <v>111</v>
      </c>
      <c r="Z24" t="s">
        <v>111</v>
      </c>
      <c r="AA24" t="s">
        <v>70</v>
      </c>
      <c r="AB24" t="s">
        <v>133</v>
      </c>
      <c r="AC24" t="s">
        <v>77</v>
      </c>
      <c r="AD24" t="s">
        <v>117</v>
      </c>
      <c r="AE24" t="s">
        <v>84</v>
      </c>
      <c r="AF24" t="s">
        <v>150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1</v>
      </c>
      <c r="AQ24">
        <f t="shared" si="0"/>
        <v>29.5</v>
      </c>
    </row>
    <row r="25" spans="1:43" x14ac:dyDescent="0.35">
      <c r="A25" t="s">
        <v>168</v>
      </c>
      <c r="B25">
        <v>15</v>
      </c>
      <c r="C25" t="s">
        <v>57</v>
      </c>
      <c r="D25">
        <v>1</v>
      </c>
      <c r="E25">
        <v>4</v>
      </c>
      <c r="F25">
        <v>2</v>
      </c>
      <c r="G25">
        <v>25</v>
      </c>
      <c r="H25">
        <v>1.6</v>
      </c>
      <c r="I25" t="s">
        <v>169</v>
      </c>
      <c r="J25">
        <v>0</v>
      </c>
      <c r="K25">
        <v>1</v>
      </c>
      <c r="L25" t="s">
        <v>122</v>
      </c>
      <c r="M25">
        <v>1</v>
      </c>
      <c r="N25">
        <v>2</v>
      </c>
      <c r="O25">
        <v>0</v>
      </c>
      <c r="P25">
        <v>0</v>
      </c>
      <c r="Q25" t="s">
        <v>114</v>
      </c>
      <c r="R25" t="s">
        <v>46</v>
      </c>
      <c r="S25" t="s">
        <v>46</v>
      </c>
      <c r="T25" t="s">
        <v>114</v>
      </c>
      <c r="U25" t="s">
        <v>94</v>
      </c>
      <c r="V25" t="s">
        <v>43</v>
      </c>
      <c r="W25" t="s">
        <v>46</v>
      </c>
      <c r="X25" t="s">
        <v>170</v>
      </c>
      <c r="Y25" t="s">
        <v>94</v>
      </c>
      <c r="Z25" t="s">
        <v>43</v>
      </c>
      <c r="AA25" t="s">
        <v>46</v>
      </c>
      <c r="AB25" t="s">
        <v>170</v>
      </c>
      <c r="AC25" t="s">
        <v>76</v>
      </c>
      <c r="AD25" t="s">
        <v>66</v>
      </c>
      <c r="AE25" t="s">
        <v>46</v>
      </c>
      <c r="AF25" t="s">
        <v>92</v>
      </c>
      <c r="AG25">
        <v>1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Q25">
        <f t="shared" si="0"/>
        <v>21.5</v>
      </c>
    </row>
    <row r="26" spans="1:43" x14ac:dyDescent="0.35">
      <c r="A26" t="s">
        <v>171</v>
      </c>
      <c r="B26">
        <v>16</v>
      </c>
      <c r="C26" t="s">
        <v>40</v>
      </c>
      <c r="D26">
        <v>1</v>
      </c>
      <c r="E26">
        <v>1</v>
      </c>
      <c r="F26">
        <v>1</v>
      </c>
      <c r="G26">
        <v>26</v>
      </c>
      <c r="H26">
        <v>2.8</v>
      </c>
      <c r="I26" t="s">
        <v>172</v>
      </c>
      <c r="J26">
        <v>0</v>
      </c>
      <c r="K26">
        <v>11</v>
      </c>
      <c r="L26" t="s">
        <v>173</v>
      </c>
      <c r="M26">
        <v>8</v>
      </c>
      <c r="N26">
        <v>0</v>
      </c>
      <c r="O26">
        <v>2</v>
      </c>
      <c r="P26">
        <v>0</v>
      </c>
      <c r="Q26" t="s">
        <v>96</v>
      </c>
      <c r="R26" t="s">
        <v>144</v>
      </c>
      <c r="S26" t="s">
        <v>46</v>
      </c>
      <c r="T26" t="s">
        <v>135</v>
      </c>
      <c r="U26" t="s">
        <v>82</v>
      </c>
      <c r="V26" t="s">
        <v>77</v>
      </c>
      <c r="W26" t="s">
        <v>46</v>
      </c>
      <c r="X26" t="s">
        <v>173</v>
      </c>
      <c r="Y26" t="s">
        <v>114</v>
      </c>
      <c r="Z26" t="s">
        <v>77</v>
      </c>
      <c r="AA26" t="s">
        <v>46</v>
      </c>
      <c r="AB26" t="s">
        <v>97</v>
      </c>
      <c r="AC26" t="s">
        <v>67</v>
      </c>
      <c r="AD26" t="s">
        <v>77</v>
      </c>
      <c r="AE26" t="s">
        <v>46</v>
      </c>
      <c r="AF26" t="s">
        <v>174</v>
      </c>
      <c r="AG26">
        <v>0</v>
      </c>
      <c r="AH26">
        <v>1</v>
      </c>
      <c r="AI26">
        <v>0</v>
      </c>
      <c r="AJ26">
        <v>1</v>
      </c>
      <c r="AK26">
        <v>1</v>
      </c>
      <c r="AL26">
        <v>0</v>
      </c>
      <c r="AM26">
        <v>0</v>
      </c>
      <c r="AN26">
        <v>1</v>
      </c>
      <c r="AQ26">
        <f t="shared" si="0"/>
        <v>7</v>
      </c>
    </row>
    <row r="27" spans="1:43" x14ac:dyDescent="0.35">
      <c r="A27" t="s">
        <v>175</v>
      </c>
      <c r="B27">
        <v>16</v>
      </c>
      <c r="C27" t="s">
        <v>57</v>
      </c>
      <c r="D27">
        <v>2</v>
      </c>
      <c r="E27">
        <v>1</v>
      </c>
      <c r="F27">
        <v>2</v>
      </c>
      <c r="G27">
        <v>6</v>
      </c>
      <c r="H27">
        <v>1.5</v>
      </c>
      <c r="I27" t="s">
        <v>173</v>
      </c>
      <c r="J27">
        <v>0</v>
      </c>
      <c r="K27">
        <v>1</v>
      </c>
      <c r="L27" t="s">
        <v>70</v>
      </c>
      <c r="M27">
        <v>0</v>
      </c>
      <c r="N27">
        <v>2</v>
      </c>
      <c r="O27">
        <v>0</v>
      </c>
      <c r="P27">
        <v>0</v>
      </c>
      <c r="Q27" t="s">
        <v>91</v>
      </c>
      <c r="R27" t="s">
        <v>117</v>
      </c>
      <c r="S27" t="s">
        <v>46</v>
      </c>
      <c r="T27" t="s">
        <v>99</v>
      </c>
      <c r="U27" t="s">
        <v>58</v>
      </c>
      <c r="V27" t="s">
        <v>58</v>
      </c>
      <c r="W27" t="s">
        <v>46</v>
      </c>
      <c r="X27" t="s">
        <v>76</v>
      </c>
      <c r="Y27" t="s">
        <v>58</v>
      </c>
      <c r="Z27" t="s">
        <v>46</v>
      </c>
      <c r="AA27" t="s">
        <v>46</v>
      </c>
      <c r="AB27" t="s">
        <v>58</v>
      </c>
      <c r="AC27" t="s">
        <v>66</v>
      </c>
      <c r="AD27" t="s">
        <v>77</v>
      </c>
      <c r="AE27" t="s">
        <v>46</v>
      </c>
      <c r="AF27" t="s">
        <v>173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</v>
      </c>
      <c r="AM27">
        <v>0</v>
      </c>
      <c r="AN27">
        <v>2</v>
      </c>
      <c r="AQ27">
        <f t="shared" si="0"/>
        <v>26</v>
      </c>
    </row>
    <row r="28" spans="1:43" x14ac:dyDescent="0.35">
      <c r="A28" t="s">
        <v>176</v>
      </c>
      <c r="B28">
        <v>17</v>
      </c>
      <c r="C28" t="s">
        <v>40</v>
      </c>
      <c r="D28">
        <v>2</v>
      </c>
      <c r="E28">
        <v>2</v>
      </c>
      <c r="F28">
        <v>2</v>
      </c>
      <c r="G28">
        <v>15</v>
      </c>
      <c r="H28">
        <v>0.7</v>
      </c>
      <c r="I28" t="s">
        <v>177</v>
      </c>
      <c r="J28">
        <v>0</v>
      </c>
      <c r="K28">
        <v>0</v>
      </c>
      <c r="L28" t="s">
        <v>46</v>
      </c>
      <c r="M28">
        <v>0</v>
      </c>
      <c r="N28">
        <v>2</v>
      </c>
      <c r="O28">
        <v>0</v>
      </c>
      <c r="P28">
        <v>0</v>
      </c>
      <c r="Q28" t="s">
        <v>82</v>
      </c>
      <c r="R28" t="s">
        <v>58</v>
      </c>
      <c r="S28" t="s">
        <v>46</v>
      </c>
      <c r="T28" t="s">
        <v>76</v>
      </c>
      <c r="U28" t="s">
        <v>65</v>
      </c>
      <c r="V28" t="s">
        <v>170</v>
      </c>
      <c r="W28" t="s">
        <v>46</v>
      </c>
      <c r="X28" t="s">
        <v>178</v>
      </c>
      <c r="Y28" t="s">
        <v>142</v>
      </c>
      <c r="Z28" t="s">
        <v>49</v>
      </c>
      <c r="AA28" t="s">
        <v>46</v>
      </c>
      <c r="AB28" t="s">
        <v>65</v>
      </c>
      <c r="AC28" t="s">
        <v>99</v>
      </c>
      <c r="AD28" t="s">
        <v>99</v>
      </c>
      <c r="AE28" t="s">
        <v>46</v>
      </c>
      <c r="AF28" t="s">
        <v>174</v>
      </c>
      <c r="AG28">
        <v>1</v>
      </c>
      <c r="AH28">
        <v>0</v>
      </c>
      <c r="AI28">
        <v>0</v>
      </c>
      <c r="AJ28">
        <v>1</v>
      </c>
      <c r="AK28">
        <v>2</v>
      </c>
      <c r="AL28">
        <v>2</v>
      </c>
      <c r="AM28">
        <v>0</v>
      </c>
      <c r="AN28">
        <v>4</v>
      </c>
      <c r="AQ28">
        <f t="shared" si="0"/>
        <v>65</v>
      </c>
    </row>
    <row r="29" spans="1:43" x14ac:dyDescent="0.35">
      <c r="A29" t="s">
        <v>179</v>
      </c>
      <c r="B29">
        <v>17</v>
      </c>
      <c r="C29" t="s">
        <v>57</v>
      </c>
      <c r="D29">
        <v>1</v>
      </c>
      <c r="E29">
        <v>2</v>
      </c>
      <c r="F29">
        <v>1</v>
      </c>
      <c r="G29">
        <v>14</v>
      </c>
      <c r="H29">
        <v>1</v>
      </c>
      <c r="I29" t="s">
        <v>180</v>
      </c>
      <c r="J29">
        <v>0</v>
      </c>
      <c r="K29">
        <v>11</v>
      </c>
      <c r="L29" t="s">
        <v>64</v>
      </c>
      <c r="M29">
        <v>8</v>
      </c>
      <c r="N29">
        <v>2</v>
      </c>
      <c r="O29">
        <v>0</v>
      </c>
      <c r="P29">
        <v>1</v>
      </c>
      <c r="Q29" t="s">
        <v>124</v>
      </c>
      <c r="R29" t="s">
        <v>45</v>
      </c>
      <c r="S29" t="s">
        <v>112</v>
      </c>
      <c r="T29" t="s">
        <v>43</v>
      </c>
      <c r="U29" t="s">
        <v>53</v>
      </c>
      <c r="V29" t="s">
        <v>181</v>
      </c>
      <c r="W29" t="s">
        <v>111</v>
      </c>
      <c r="X29" t="s">
        <v>180</v>
      </c>
      <c r="Y29" t="s">
        <v>53</v>
      </c>
      <c r="Z29" t="s">
        <v>181</v>
      </c>
      <c r="AA29" t="s">
        <v>111</v>
      </c>
      <c r="AB29" t="s">
        <v>180</v>
      </c>
      <c r="AC29" t="s">
        <v>67</v>
      </c>
      <c r="AD29" t="s">
        <v>67</v>
      </c>
      <c r="AE29" t="s">
        <v>66</v>
      </c>
      <c r="AF29" t="s">
        <v>182</v>
      </c>
      <c r="AG29">
        <v>0</v>
      </c>
      <c r="AH29">
        <v>1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Q29">
        <f t="shared" si="0"/>
        <v>50</v>
      </c>
    </row>
    <row r="30" spans="1:43" x14ac:dyDescent="0.35">
      <c r="A30" t="s">
        <v>183</v>
      </c>
      <c r="B30">
        <v>18</v>
      </c>
      <c r="C30" t="s">
        <v>40</v>
      </c>
      <c r="D30">
        <v>1</v>
      </c>
      <c r="E30">
        <v>3</v>
      </c>
      <c r="F30">
        <v>2</v>
      </c>
      <c r="G30">
        <v>39</v>
      </c>
      <c r="H30">
        <v>3.1</v>
      </c>
      <c r="I30" t="s">
        <v>184</v>
      </c>
      <c r="J30">
        <v>0</v>
      </c>
      <c r="K30">
        <v>8</v>
      </c>
      <c r="L30" t="s">
        <v>90</v>
      </c>
      <c r="M30">
        <v>6</v>
      </c>
      <c r="N30">
        <v>15</v>
      </c>
      <c r="O30">
        <v>0</v>
      </c>
      <c r="P30">
        <v>0</v>
      </c>
      <c r="Q30" t="s">
        <v>185</v>
      </c>
      <c r="R30" t="s">
        <v>120</v>
      </c>
      <c r="S30" t="s">
        <v>124</v>
      </c>
      <c r="T30" t="s">
        <v>186</v>
      </c>
      <c r="U30" t="s">
        <v>97</v>
      </c>
      <c r="V30" t="s">
        <v>174</v>
      </c>
      <c r="W30" t="s">
        <v>84</v>
      </c>
      <c r="X30" t="s">
        <v>63</v>
      </c>
      <c r="Y30" t="s">
        <v>86</v>
      </c>
      <c r="Z30" t="s">
        <v>92</v>
      </c>
      <c r="AA30" t="s">
        <v>84</v>
      </c>
      <c r="AB30" t="s">
        <v>187</v>
      </c>
      <c r="AC30" t="s">
        <v>67</v>
      </c>
      <c r="AD30" t="s">
        <v>111</v>
      </c>
      <c r="AE30" t="s">
        <v>117</v>
      </c>
      <c r="AF30" t="s">
        <v>118</v>
      </c>
      <c r="AG30">
        <v>0</v>
      </c>
      <c r="AH30">
        <v>1</v>
      </c>
      <c r="AI30">
        <v>0</v>
      </c>
      <c r="AJ30">
        <v>1</v>
      </c>
      <c r="AK30">
        <v>1</v>
      </c>
      <c r="AL30">
        <v>1</v>
      </c>
      <c r="AM30">
        <v>0</v>
      </c>
      <c r="AN30">
        <v>2</v>
      </c>
      <c r="AQ30">
        <f t="shared" si="0"/>
        <v>4.5</v>
      </c>
    </row>
    <row r="31" spans="1:43" x14ac:dyDescent="0.35">
      <c r="A31" t="s">
        <v>188</v>
      </c>
      <c r="B31">
        <v>18</v>
      </c>
      <c r="C31" t="s">
        <v>57</v>
      </c>
      <c r="D31">
        <v>2</v>
      </c>
      <c r="E31">
        <v>3</v>
      </c>
      <c r="F31">
        <v>1</v>
      </c>
      <c r="G31">
        <v>5</v>
      </c>
      <c r="H31">
        <v>0.7</v>
      </c>
      <c r="I31" t="s">
        <v>65</v>
      </c>
      <c r="J31">
        <v>0</v>
      </c>
      <c r="K31">
        <v>1</v>
      </c>
      <c r="L31" t="s">
        <v>66</v>
      </c>
      <c r="M31">
        <v>1</v>
      </c>
      <c r="N31">
        <v>0</v>
      </c>
      <c r="O31">
        <v>0</v>
      </c>
      <c r="P31">
        <v>0</v>
      </c>
      <c r="Q31" t="s">
        <v>104</v>
      </c>
      <c r="R31" t="s">
        <v>112</v>
      </c>
      <c r="S31" t="s">
        <v>46</v>
      </c>
      <c r="T31" t="s">
        <v>124</v>
      </c>
      <c r="U31" t="s">
        <v>66</v>
      </c>
      <c r="V31" t="s">
        <v>66</v>
      </c>
      <c r="W31" t="s">
        <v>46</v>
      </c>
      <c r="X31" t="s">
        <v>85</v>
      </c>
      <c r="Y31" t="s">
        <v>66</v>
      </c>
      <c r="Z31" t="s">
        <v>66</v>
      </c>
      <c r="AA31" t="s">
        <v>46</v>
      </c>
      <c r="AB31" t="s">
        <v>85</v>
      </c>
      <c r="AC31" t="s">
        <v>84</v>
      </c>
      <c r="AD31" t="s">
        <v>84</v>
      </c>
      <c r="AE31" t="s">
        <v>46</v>
      </c>
      <c r="AF31" t="s">
        <v>67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Q31">
        <f t="shared" si="0"/>
        <v>65</v>
      </c>
    </row>
    <row r="32" spans="1:43" x14ac:dyDescent="0.35">
      <c r="A32" t="s">
        <v>189</v>
      </c>
      <c r="B32">
        <v>19</v>
      </c>
      <c r="C32" t="s">
        <v>40</v>
      </c>
      <c r="D32">
        <v>2</v>
      </c>
      <c r="E32">
        <v>4</v>
      </c>
      <c r="F32">
        <v>1</v>
      </c>
      <c r="G32">
        <v>7</v>
      </c>
      <c r="H32">
        <v>1.2</v>
      </c>
      <c r="I32" t="s">
        <v>107</v>
      </c>
      <c r="J32">
        <v>0</v>
      </c>
      <c r="K32">
        <v>8</v>
      </c>
      <c r="L32" t="s">
        <v>52</v>
      </c>
      <c r="M32">
        <v>7</v>
      </c>
      <c r="N32">
        <v>0</v>
      </c>
      <c r="O32">
        <v>0</v>
      </c>
      <c r="P32">
        <v>0</v>
      </c>
      <c r="Q32" t="s">
        <v>97</v>
      </c>
      <c r="R32" t="s">
        <v>67</v>
      </c>
      <c r="S32" t="s">
        <v>46</v>
      </c>
      <c r="T32" t="s">
        <v>190</v>
      </c>
      <c r="U32" t="s">
        <v>107</v>
      </c>
      <c r="V32" t="s">
        <v>52</v>
      </c>
      <c r="W32" t="s">
        <v>46</v>
      </c>
      <c r="X32" t="s">
        <v>191</v>
      </c>
      <c r="Y32" t="s">
        <v>136</v>
      </c>
      <c r="Z32" t="s">
        <v>52</v>
      </c>
      <c r="AA32" t="s">
        <v>46</v>
      </c>
      <c r="AB32" t="s">
        <v>192</v>
      </c>
      <c r="AC32" t="s">
        <v>67</v>
      </c>
      <c r="AD32" t="s">
        <v>67</v>
      </c>
      <c r="AE32" t="s">
        <v>46</v>
      </c>
      <c r="AF32" t="s">
        <v>173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1</v>
      </c>
      <c r="AQ32">
        <f t="shared" si="0"/>
        <v>42</v>
      </c>
    </row>
    <row r="33" spans="1:43" x14ac:dyDescent="0.35">
      <c r="A33" t="s">
        <v>193</v>
      </c>
      <c r="B33">
        <v>19</v>
      </c>
      <c r="C33" t="s">
        <v>57</v>
      </c>
      <c r="D33">
        <v>1</v>
      </c>
      <c r="E33">
        <v>4</v>
      </c>
      <c r="F33">
        <v>2</v>
      </c>
      <c r="G33">
        <v>4</v>
      </c>
      <c r="H33">
        <v>1.3</v>
      </c>
      <c r="I33" t="s">
        <v>49</v>
      </c>
      <c r="J33">
        <v>0</v>
      </c>
      <c r="K33">
        <v>0</v>
      </c>
      <c r="L33" t="s">
        <v>46</v>
      </c>
      <c r="M33">
        <v>0</v>
      </c>
      <c r="N33">
        <v>2</v>
      </c>
      <c r="O33">
        <v>0</v>
      </c>
      <c r="P33">
        <v>1</v>
      </c>
      <c r="Q33" t="s">
        <v>122</v>
      </c>
      <c r="R33" t="s">
        <v>122</v>
      </c>
      <c r="S33" t="s">
        <v>46</v>
      </c>
      <c r="T33" t="s">
        <v>43</v>
      </c>
      <c r="U33" t="s">
        <v>41</v>
      </c>
      <c r="V33" t="s">
        <v>41</v>
      </c>
      <c r="W33" t="s">
        <v>46</v>
      </c>
      <c r="X33" t="s">
        <v>49</v>
      </c>
      <c r="Y33" t="s">
        <v>41</v>
      </c>
      <c r="Z33" t="s">
        <v>41</v>
      </c>
      <c r="AA33" t="s">
        <v>46</v>
      </c>
      <c r="AB33" t="s">
        <v>49</v>
      </c>
      <c r="AC33" t="s">
        <v>66</v>
      </c>
      <c r="AD33" t="s">
        <v>67</v>
      </c>
      <c r="AE33" t="s">
        <v>46</v>
      </c>
      <c r="AF33" t="s">
        <v>61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Q33">
        <f t="shared" si="0"/>
        <v>35.5</v>
      </c>
    </row>
    <row r="34" spans="1:43" x14ac:dyDescent="0.35">
      <c r="A34" t="s">
        <v>194</v>
      </c>
      <c r="B34">
        <v>20</v>
      </c>
      <c r="C34" t="s">
        <v>40</v>
      </c>
      <c r="D34">
        <v>1</v>
      </c>
      <c r="E34">
        <v>1</v>
      </c>
      <c r="F34">
        <v>1</v>
      </c>
      <c r="G34">
        <v>26</v>
      </c>
      <c r="H34">
        <v>2.1</v>
      </c>
      <c r="I34" t="s">
        <v>195</v>
      </c>
      <c r="J34">
        <v>0</v>
      </c>
      <c r="K34">
        <v>12</v>
      </c>
      <c r="L34" t="s">
        <v>106</v>
      </c>
      <c r="M34">
        <v>6</v>
      </c>
      <c r="N34">
        <v>0</v>
      </c>
      <c r="O34">
        <v>2</v>
      </c>
      <c r="P34">
        <v>0</v>
      </c>
      <c r="Q34" t="s">
        <v>67</v>
      </c>
      <c r="R34" t="s">
        <v>91</v>
      </c>
      <c r="S34" t="s">
        <v>46</v>
      </c>
      <c r="T34" t="s">
        <v>77</v>
      </c>
      <c r="U34" t="s">
        <v>105</v>
      </c>
      <c r="V34" t="s">
        <v>71</v>
      </c>
      <c r="W34" t="s">
        <v>46</v>
      </c>
      <c r="X34" t="s">
        <v>78</v>
      </c>
      <c r="Y34" t="s">
        <v>105</v>
      </c>
      <c r="Z34" t="s">
        <v>71</v>
      </c>
      <c r="AA34" t="s">
        <v>46</v>
      </c>
      <c r="AB34" t="s">
        <v>78</v>
      </c>
      <c r="AC34" t="s">
        <v>60</v>
      </c>
      <c r="AD34" t="s">
        <v>67</v>
      </c>
      <c r="AE34" t="s">
        <v>46</v>
      </c>
      <c r="AF34" t="s">
        <v>62</v>
      </c>
      <c r="AG34">
        <v>1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Q34">
        <f t="shared" si="0"/>
        <v>8</v>
      </c>
    </row>
    <row r="35" spans="1:43" x14ac:dyDescent="0.35">
      <c r="A35" t="s">
        <v>196</v>
      </c>
      <c r="B35">
        <v>20</v>
      </c>
      <c r="C35" t="s">
        <v>57</v>
      </c>
      <c r="D35">
        <v>2</v>
      </c>
      <c r="E35">
        <v>1</v>
      </c>
      <c r="F35">
        <v>2</v>
      </c>
      <c r="G35">
        <v>21</v>
      </c>
      <c r="H35">
        <v>1.9</v>
      </c>
      <c r="I35" t="s">
        <v>81</v>
      </c>
      <c r="J35">
        <v>0</v>
      </c>
      <c r="K35">
        <v>2</v>
      </c>
      <c r="L35" t="s">
        <v>84</v>
      </c>
      <c r="M35">
        <v>1</v>
      </c>
      <c r="N35">
        <v>3</v>
      </c>
      <c r="O35">
        <v>0</v>
      </c>
      <c r="P35">
        <v>1</v>
      </c>
      <c r="Q35" t="s">
        <v>49</v>
      </c>
      <c r="R35" t="s">
        <v>46</v>
      </c>
      <c r="S35" t="s">
        <v>84</v>
      </c>
      <c r="T35" t="s">
        <v>173</v>
      </c>
      <c r="U35" t="s">
        <v>111</v>
      </c>
      <c r="V35" t="s">
        <v>91</v>
      </c>
      <c r="W35" t="s">
        <v>84</v>
      </c>
      <c r="X35" t="s">
        <v>51</v>
      </c>
      <c r="Y35" t="s">
        <v>41</v>
      </c>
      <c r="Z35" t="s">
        <v>91</v>
      </c>
      <c r="AA35" t="s">
        <v>84</v>
      </c>
      <c r="AB35" t="s">
        <v>49</v>
      </c>
      <c r="AC35" t="s">
        <v>99</v>
      </c>
      <c r="AD35" t="s">
        <v>84</v>
      </c>
      <c r="AE35" t="s">
        <v>67</v>
      </c>
      <c r="AF35" t="s">
        <v>150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1</v>
      </c>
      <c r="AQ35">
        <f t="shared" si="0"/>
        <v>11</v>
      </c>
    </row>
    <row r="36" spans="1:43" x14ac:dyDescent="0.35">
      <c r="A36" t="s">
        <v>197</v>
      </c>
      <c r="B36">
        <v>21</v>
      </c>
      <c r="C36" t="s">
        <v>40</v>
      </c>
      <c r="D36">
        <v>2</v>
      </c>
      <c r="E36">
        <v>2</v>
      </c>
      <c r="F36">
        <v>2</v>
      </c>
      <c r="G36">
        <v>22</v>
      </c>
      <c r="H36">
        <v>1.6</v>
      </c>
      <c r="I36" t="s">
        <v>198</v>
      </c>
      <c r="J36">
        <v>0</v>
      </c>
      <c r="K36">
        <v>21</v>
      </c>
      <c r="L36" t="s">
        <v>199</v>
      </c>
      <c r="M36">
        <v>1</v>
      </c>
      <c r="N36">
        <v>9</v>
      </c>
      <c r="O36">
        <v>1</v>
      </c>
      <c r="P36">
        <v>6</v>
      </c>
      <c r="Q36" t="s">
        <v>77</v>
      </c>
      <c r="R36" t="s">
        <v>86</v>
      </c>
      <c r="S36" t="s">
        <v>45</v>
      </c>
      <c r="T36" t="s">
        <v>115</v>
      </c>
      <c r="U36" t="s">
        <v>113</v>
      </c>
      <c r="V36" t="s">
        <v>110</v>
      </c>
      <c r="W36" t="s">
        <v>105</v>
      </c>
      <c r="X36" t="s">
        <v>75</v>
      </c>
      <c r="Y36" t="s">
        <v>113</v>
      </c>
      <c r="Z36" t="s">
        <v>110</v>
      </c>
      <c r="AA36" t="s">
        <v>105</v>
      </c>
      <c r="AB36" t="s">
        <v>75</v>
      </c>
      <c r="AC36" t="s">
        <v>54</v>
      </c>
      <c r="AD36" t="s">
        <v>98</v>
      </c>
      <c r="AE36" t="s">
        <v>60</v>
      </c>
      <c r="AF36" t="s">
        <v>185</v>
      </c>
      <c r="AG36">
        <v>0</v>
      </c>
      <c r="AH36">
        <v>1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Q36">
        <f t="shared" si="0"/>
        <v>21.5</v>
      </c>
    </row>
    <row r="37" spans="1:43" x14ac:dyDescent="0.35">
      <c r="A37" t="s">
        <v>200</v>
      </c>
      <c r="B37">
        <v>21</v>
      </c>
      <c r="C37" t="s">
        <v>57</v>
      </c>
      <c r="D37">
        <v>1</v>
      </c>
      <c r="E37">
        <v>2</v>
      </c>
      <c r="F37">
        <v>1</v>
      </c>
      <c r="G37">
        <v>8</v>
      </c>
      <c r="H37">
        <v>1.3</v>
      </c>
      <c r="I37" t="s">
        <v>129</v>
      </c>
      <c r="J37">
        <v>0</v>
      </c>
      <c r="K37">
        <v>12</v>
      </c>
      <c r="L37" t="s">
        <v>201</v>
      </c>
      <c r="M37">
        <v>9</v>
      </c>
      <c r="N37">
        <v>0</v>
      </c>
      <c r="O37">
        <v>0</v>
      </c>
      <c r="P37">
        <v>0</v>
      </c>
      <c r="Q37" t="s">
        <v>41</v>
      </c>
      <c r="R37" t="s">
        <v>144</v>
      </c>
      <c r="S37" t="s">
        <v>112</v>
      </c>
      <c r="T37" t="s">
        <v>90</v>
      </c>
      <c r="U37" t="s">
        <v>49</v>
      </c>
      <c r="V37" t="s">
        <v>129</v>
      </c>
      <c r="W37" t="s">
        <v>45</v>
      </c>
      <c r="X37" t="s">
        <v>75</v>
      </c>
      <c r="Y37" t="s">
        <v>60</v>
      </c>
      <c r="Z37" t="s">
        <v>129</v>
      </c>
      <c r="AA37" t="s">
        <v>45</v>
      </c>
      <c r="AB37" t="s">
        <v>201</v>
      </c>
      <c r="AC37" t="s">
        <v>67</v>
      </c>
      <c r="AD37" t="s">
        <v>105</v>
      </c>
      <c r="AE37" t="s">
        <v>84</v>
      </c>
      <c r="AF37" t="s">
        <v>94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1</v>
      </c>
      <c r="AQ37">
        <f t="shared" si="0"/>
        <v>35.5</v>
      </c>
    </row>
    <row r="38" spans="1:43" x14ac:dyDescent="0.35">
      <c r="A38" t="s">
        <v>202</v>
      </c>
      <c r="B38">
        <v>23</v>
      </c>
      <c r="C38" t="s">
        <v>40</v>
      </c>
      <c r="D38">
        <v>2</v>
      </c>
      <c r="E38">
        <v>4</v>
      </c>
      <c r="F38">
        <v>1</v>
      </c>
      <c r="G38">
        <v>7</v>
      </c>
      <c r="H38">
        <v>0.9</v>
      </c>
      <c r="I38" t="s">
        <v>100</v>
      </c>
      <c r="J38">
        <v>0</v>
      </c>
      <c r="K38">
        <v>2</v>
      </c>
      <c r="L38" t="s">
        <v>99</v>
      </c>
      <c r="M38">
        <v>3</v>
      </c>
      <c r="N38">
        <v>1</v>
      </c>
      <c r="O38">
        <v>0</v>
      </c>
      <c r="P38">
        <v>0</v>
      </c>
      <c r="Q38" t="s">
        <v>46</v>
      </c>
      <c r="R38" t="s">
        <v>112</v>
      </c>
      <c r="S38" t="s">
        <v>46</v>
      </c>
      <c r="T38" t="s">
        <v>112</v>
      </c>
      <c r="U38" t="s">
        <v>46</v>
      </c>
      <c r="V38" t="s">
        <v>116</v>
      </c>
      <c r="W38" t="s">
        <v>46</v>
      </c>
      <c r="X38" t="s">
        <v>116</v>
      </c>
      <c r="Y38" t="s">
        <v>46</v>
      </c>
      <c r="Z38" t="s">
        <v>116</v>
      </c>
      <c r="AA38" t="s">
        <v>46</v>
      </c>
      <c r="AB38" t="s">
        <v>116</v>
      </c>
      <c r="AC38" t="s">
        <v>46</v>
      </c>
      <c r="AD38" t="s">
        <v>117</v>
      </c>
      <c r="AE38" t="s">
        <v>46</v>
      </c>
      <c r="AF38" t="s">
        <v>117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Q38">
        <f t="shared" si="0"/>
        <v>56.5</v>
      </c>
    </row>
    <row r="39" spans="1:43" x14ac:dyDescent="0.35">
      <c r="A39" t="s">
        <v>203</v>
      </c>
      <c r="B39">
        <v>23</v>
      </c>
      <c r="C39" t="s">
        <v>57</v>
      </c>
      <c r="D39">
        <v>1</v>
      </c>
      <c r="E39">
        <v>4</v>
      </c>
      <c r="F39">
        <v>2</v>
      </c>
      <c r="G39">
        <v>25</v>
      </c>
      <c r="H39">
        <v>1.7</v>
      </c>
      <c r="I39" t="s">
        <v>204</v>
      </c>
      <c r="J39">
        <v>0</v>
      </c>
      <c r="K39">
        <v>1</v>
      </c>
      <c r="L39" t="s">
        <v>122</v>
      </c>
      <c r="M39">
        <v>0</v>
      </c>
      <c r="N39">
        <v>6</v>
      </c>
      <c r="O39">
        <v>0</v>
      </c>
      <c r="P39">
        <v>3</v>
      </c>
      <c r="Q39" t="s">
        <v>70</v>
      </c>
      <c r="R39" t="s">
        <v>114</v>
      </c>
      <c r="S39" t="s">
        <v>112</v>
      </c>
      <c r="T39" t="s">
        <v>105</v>
      </c>
      <c r="U39" t="s">
        <v>54</v>
      </c>
      <c r="V39" t="s">
        <v>97</v>
      </c>
      <c r="W39" t="s">
        <v>43</v>
      </c>
      <c r="X39" t="s">
        <v>130</v>
      </c>
      <c r="Y39" t="s">
        <v>54</v>
      </c>
      <c r="Z39" t="s">
        <v>97</v>
      </c>
      <c r="AA39" t="s">
        <v>43</v>
      </c>
      <c r="AB39" t="s">
        <v>130</v>
      </c>
      <c r="AC39" t="s">
        <v>117</v>
      </c>
      <c r="AD39" t="s">
        <v>98</v>
      </c>
      <c r="AE39" t="s">
        <v>66</v>
      </c>
      <c r="AF39" t="s">
        <v>107</v>
      </c>
      <c r="AG39">
        <v>1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Q39">
        <f t="shared" si="0"/>
        <v>17</v>
      </c>
    </row>
    <row r="40" spans="1:43" x14ac:dyDescent="0.35">
      <c r="A40" t="s">
        <v>205</v>
      </c>
      <c r="B40">
        <v>25</v>
      </c>
      <c r="C40" t="s">
        <v>40</v>
      </c>
      <c r="D40">
        <v>2</v>
      </c>
      <c r="E40">
        <v>2</v>
      </c>
      <c r="F40">
        <v>2</v>
      </c>
      <c r="G40">
        <v>7</v>
      </c>
      <c r="H40">
        <v>0.9</v>
      </c>
      <c r="I40" t="s">
        <v>153</v>
      </c>
      <c r="J40">
        <v>0</v>
      </c>
      <c r="K40">
        <v>1</v>
      </c>
      <c r="L40" t="s">
        <v>114</v>
      </c>
      <c r="M40">
        <v>0</v>
      </c>
      <c r="N40">
        <v>1</v>
      </c>
      <c r="O40">
        <v>0</v>
      </c>
      <c r="P40">
        <v>0</v>
      </c>
      <c r="Q40" t="s">
        <v>43</v>
      </c>
      <c r="R40" t="s">
        <v>112</v>
      </c>
      <c r="S40" t="s">
        <v>46</v>
      </c>
      <c r="T40" t="s">
        <v>43</v>
      </c>
      <c r="U40" t="s">
        <v>135</v>
      </c>
      <c r="V40" t="s">
        <v>114</v>
      </c>
      <c r="W40" t="s">
        <v>46</v>
      </c>
      <c r="X40" t="s">
        <v>142</v>
      </c>
      <c r="Y40" t="s">
        <v>46</v>
      </c>
      <c r="Z40" t="s">
        <v>46</v>
      </c>
      <c r="AA40" t="s">
        <v>46</v>
      </c>
      <c r="AB40" t="s">
        <v>46</v>
      </c>
      <c r="AC40" t="s">
        <v>76</v>
      </c>
      <c r="AD40" t="s">
        <v>67</v>
      </c>
      <c r="AE40" t="s">
        <v>46</v>
      </c>
      <c r="AF40" t="s">
        <v>73</v>
      </c>
      <c r="AG40">
        <v>0</v>
      </c>
      <c r="AH40">
        <v>0</v>
      </c>
      <c r="AI40">
        <v>0</v>
      </c>
      <c r="AJ40">
        <v>0</v>
      </c>
      <c r="AK40">
        <v>3</v>
      </c>
      <c r="AL40">
        <v>1</v>
      </c>
      <c r="AM40">
        <v>0</v>
      </c>
      <c r="AN40">
        <v>4</v>
      </c>
      <c r="AQ40">
        <f t="shared" si="0"/>
        <v>56.5</v>
      </c>
    </row>
    <row r="41" spans="1:43" x14ac:dyDescent="0.35">
      <c r="A41" t="s">
        <v>206</v>
      </c>
      <c r="B41">
        <v>25</v>
      </c>
      <c r="C41" t="s">
        <v>57</v>
      </c>
      <c r="D41">
        <v>1</v>
      </c>
      <c r="E41">
        <v>2</v>
      </c>
      <c r="F41">
        <v>1</v>
      </c>
      <c r="G41">
        <v>15</v>
      </c>
      <c r="H41">
        <v>1.6</v>
      </c>
      <c r="I41" t="s">
        <v>207</v>
      </c>
      <c r="J41">
        <v>0</v>
      </c>
      <c r="K41">
        <v>7</v>
      </c>
      <c r="L41" t="s">
        <v>110</v>
      </c>
      <c r="M41">
        <v>1</v>
      </c>
      <c r="N41">
        <v>0</v>
      </c>
      <c r="O41">
        <v>0</v>
      </c>
      <c r="P41">
        <v>0</v>
      </c>
      <c r="Q41" t="s">
        <v>83</v>
      </c>
      <c r="R41" t="s">
        <v>46</v>
      </c>
      <c r="S41" t="s">
        <v>46</v>
      </c>
      <c r="T41" t="s">
        <v>91</v>
      </c>
      <c r="U41" t="s">
        <v>105</v>
      </c>
      <c r="V41" t="s">
        <v>122</v>
      </c>
      <c r="W41" t="s">
        <v>46</v>
      </c>
      <c r="X41" t="s">
        <v>77</v>
      </c>
      <c r="Y41" t="s">
        <v>105</v>
      </c>
      <c r="Z41" t="s">
        <v>122</v>
      </c>
      <c r="AA41" t="s">
        <v>46</v>
      </c>
      <c r="AB41" t="s">
        <v>77</v>
      </c>
      <c r="AC41" t="s">
        <v>67</v>
      </c>
      <c r="AD41" t="s">
        <v>84</v>
      </c>
      <c r="AE41" t="s">
        <v>46</v>
      </c>
      <c r="AF41" t="s">
        <v>85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Q41">
        <f t="shared" si="0"/>
        <v>21.5</v>
      </c>
    </row>
    <row r="42" spans="1:43" x14ac:dyDescent="0.35">
      <c r="A42" t="s">
        <v>208</v>
      </c>
      <c r="B42">
        <v>26</v>
      </c>
      <c r="C42" t="s">
        <v>40</v>
      </c>
      <c r="D42">
        <v>1</v>
      </c>
      <c r="E42">
        <v>3</v>
      </c>
      <c r="F42">
        <v>2</v>
      </c>
      <c r="G42">
        <v>21</v>
      </c>
      <c r="H42">
        <v>1.1000000000000001</v>
      </c>
      <c r="I42" t="s">
        <v>209</v>
      </c>
      <c r="J42">
        <v>1</v>
      </c>
      <c r="K42">
        <v>2</v>
      </c>
      <c r="L42" t="s">
        <v>54</v>
      </c>
      <c r="M42">
        <v>0</v>
      </c>
      <c r="N42">
        <v>9</v>
      </c>
      <c r="O42">
        <v>0</v>
      </c>
      <c r="P42">
        <v>8</v>
      </c>
      <c r="Q42" t="s">
        <v>135</v>
      </c>
      <c r="R42" t="s">
        <v>60</v>
      </c>
      <c r="S42" t="s">
        <v>46</v>
      </c>
      <c r="T42" t="s">
        <v>118</v>
      </c>
      <c r="U42" t="s">
        <v>210</v>
      </c>
      <c r="V42" t="s">
        <v>44</v>
      </c>
      <c r="W42" t="s">
        <v>46</v>
      </c>
      <c r="X42" t="s">
        <v>180</v>
      </c>
      <c r="Y42" t="s">
        <v>54</v>
      </c>
      <c r="Z42" t="s">
        <v>97</v>
      </c>
      <c r="AA42" t="s">
        <v>46</v>
      </c>
      <c r="AB42" t="s">
        <v>74</v>
      </c>
      <c r="AC42" t="s">
        <v>90</v>
      </c>
      <c r="AD42" t="s">
        <v>116</v>
      </c>
      <c r="AE42" t="s">
        <v>46</v>
      </c>
      <c r="AF42" t="s">
        <v>55</v>
      </c>
      <c r="AG42">
        <v>0</v>
      </c>
      <c r="AH42">
        <v>0</v>
      </c>
      <c r="AI42">
        <v>0</v>
      </c>
      <c r="AJ42">
        <v>0</v>
      </c>
      <c r="AK42">
        <v>5</v>
      </c>
      <c r="AL42">
        <v>5</v>
      </c>
      <c r="AM42">
        <v>0</v>
      </c>
      <c r="AN42">
        <v>10</v>
      </c>
      <c r="AQ42">
        <f t="shared" si="0"/>
        <v>46</v>
      </c>
    </row>
    <row r="43" spans="1:43" x14ac:dyDescent="0.35">
      <c r="A43" t="s">
        <v>211</v>
      </c>
      <c r="B43">
        <v>26</v>
      </c>
      <c r="C43" t="s">
        <v>57</v>
      </c>
      <c r="D43">
        <v>2</v>
      </c>
      <c r="E43">
        <v>3</v>
      </c>
      <c r="F43">
        <v>1</v>
      </c>
      <c r="G43">
        <v>27</v>
      </c>
      <c r="H43">
        <v>1.4</v>
      </c>
      <c r="I43" t="s">
        <v>95</v>
      </c>
      <c r="J43">
        <v>0</v>
      </c>
      <c r="K43">
        <v>13</v>
      </c>
      <c r="L43" t="s">
        <v>201</v>
      </c>
      <c r="M43">
        <v>3</v>
      </c>
      <c r="N43">
        <v>0</v>
      </c>
      <c r="O43">
        <v>6</v>
      </c>
      <c r="P43">
        <v>0</v>
      </c>
      <c r="Q43" t="s">
        <v>77</v>
      </c>
      <c r="R43" t="s">
        <v>91</v>
      </c>
      <c r="S43" t="s">
        <v>112</v>
      </c>
      <c r="T43" t="s">
        <v>49</v>
      </c>
      <c r="U43" t="s">
        <v>97</v>
      </c>
      <c r="V43" t="s">
        <v>99</v>
      </c>
      <c r="W43" t="s">
        <v>70</v>
      </c>
      <c r="X43" t="s">
        <v>115</v>
      </c>
      <c r="Y43" t="s">
        <v>99</v>
      </c>
      <c r="Z43" t="s">
        <v>99</v>
      </c>
      <c r="AA43" t="s">
        <v>70</v>
      </c>
      <c r="AB43" t="s">
        <v>133</v>
      </c>
      <c r="AC43" t="s">
        <v>99</v>
      </c>
      <c r="AD43" t="s">
        <v>51</v>
      </c>
      <c r="AE43" t="s">
        <v>84</v>
      </c>
      <c r="AF43" t="s">
        <v>212</v>
      </c>
      <c r="AG43">
        <v>0</v>
      </c>
      <c r="AH43">
        <v>0</v>
      </c>
      <c r="AI43">
        <v>0</v>
      </c>
      <c r="AJ43">
        <v>0</v>
      </c>
      <c r="AK43">
        <v>2</v>
      </c>
      <c r="AL43">
        <v>0</v>
      </c>
      <c r="AM43">
        <v>0</v>
      </c>
      <c r="AN43">
        <v>2</v>
      </c>
      <c r="AQ43">
        <f t="shared" si="0"/>
        <v>29.5</v>
      </c>
    </row>
    <row r="44" spans="1:43" x14ac:dyDescent="0.35">
      <c r="A44" t="s">
        <v>213</v>
      </c>
      <c r="B44">
        <v>27</v>
      </c>
      <c r="C44" t="s">
        <v>40</v>
      </c>
      <c r="D44">
        <v>2</v>
      </c>
      <c r="E44">
        <v>4</v>
      </c>
      <c r="F44">
        <v>1</v>
      </c>
      <c r="G44">
        <v>7</v>
      </c>
      <c r="H44">
        <v>0.7</v>
      </c>
      <c r="I44" t="s">
        <v>50</v>
      </c>
      <c r="J44">
        <v>0</v>
      </c>
      <c r="K44">
        <v>2</v>
      </c>
      <c r="L44" t="s">
        <v>85</v>
      </c>
      <c r="M44">
        <v>1</v>
      </c>
      <c r="N44">
        <v>0</v>
      </c>
      <c r="O44">
        <v>3</v>
      </c>
      <c r="P44">
        <v>0</v>
      </c>
      <c r="Q44" t="s">
        <v>112</v>
      </c>
      <c r="R44" t="s">
        <v>112</v>
      </c>
      <c r="S44" t="s">
        <v>46</v>
      </c>
      <c r="T44" t="s">
        <v>112</v>
      </c>
      <c r="U44" t="s">
        <v>66</v>
      </c>
      <c r="V44" t="s">
        <v>66</v>
      </c>
      <c r="W44" t="s">
        <v>46</v>
      </c>
      <c r="X44" t="s">
        <v>85</v>
      </c>
      <c r="Y44" t="s">
        <v>66</v>
      </c>
      <c r="Z44" t="s">
        <v>66</v>
      </c>
      <c r="AA44" t="s">
        <v>46</v>
      </c>
      <c r="AB44" t="s">
        <v>85</v>
      </c>
      <c r="AC44" t="s">
        <v>84</v>
      </c>
      <c r="AD44" t="s">
        <v>173</v>
      </c>
      <c r="AE44" t="s">
        <v>46</v>
      </c>
      <c r="AF44" t="s">
        <v>133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Q44">
        <f t="shared" si="0"/>
        <v>65</v>
      </c>
    </row>
    <row r="45" spans="1:43" x14ac:dyDescent="0.35">
      <c r="A45" t="s">
        <v>214</v>
      </c>
      <c r="B45">
        <v>27</v>
      </c>
      <c r="C45" t="s">
        <v>57</v>
      </c>
      <c r="D45">
        <v>1</v>
      </c>
      <c r="E45">
        <v>4</v>
      </c>
      <c r="F45">
        <v>2</v>
      </c>
      <c r="G45">
        <v>2</v>
      </c>
      <c r="H45">
        <v>0.8</v>
      </c>
      <c r="I45" t="s">
        <v>90</v>
      </c>
      <c r="J45">
        <v>0</v>
      </c>
      <c r="K45">
        <v>0</v>
      </c>
      <c r="L45" t="s">
        <v>46</v>
      </c>
      <c r="M45">
        <v>0</v>
      </c>
      <c r="N45">
        <v>1</v>
      </c>
      <c r="O45">
        <v>0</v>
      </c>
      <c r="P45">
        <v>0</v>
      </c>
      <c r="Q45" t="s">
        <v>46</v>
      </c>
      <c r="R45" t="s">
        <v>46</v>
      </c>
      <c r="S45" t="s">
        <v>46</v>
      </c>
      <c r="T45" t="s">
        <v>46</v>
      </c>
      <c r="U45" t="s">
        <v>46</v>
      </c>
      <c r="V45" t="s">
        <v>58</v>
      </c>
      <c r="W45" t="s">
        <v>46</v>
      </c>
      <c r="X45" t="s">
        <v>58</v>
      </c>
      <c r="Y45" t="s">
        <v>46</v>
      </c>
      <c r="Z45" t="s">
        <v>58</v>
      </c>
      <c r="AA45" t="s">
        <v>46</v>
      </c>
      <c r="AB45" t="s">
        <v>58</v>
      </c>
      <c r="AC45" t="s">
        <v>46</v>
      </c>
      <c r="AD45" t="s">
        <v>84</v>
      </c>
      <c r="AE45" t="s">
        <v>46</v>
      </c>
      <c r="AF45" t="s">
        <v>84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Q45">
        <f t="shared" si="0"/>
        <v>62</v>
      </c>
    </row>
    <row r="46" spans="1:43" x14ac:dyDescent="0.35">
      <c r="A46" t="s">
        <v>215</v>
      </c>
      <c r="B46">
        <v>28</v>
      </c>
      <c r="C46" t="s">
        <v>40</v>
      </c>
      <c r="D46">
        <v>1</v>
      </c>
      <c r="E46">
        <v>1</v>
      </c>
      <c r="F46">
        <v>1</v>
      </c>
      <c r="G46">
        <v>15</v>
      </c>
      <c r="H46">
        <v>1.7</v>
      </c>
      <c r="I46" t="s">
        <v>152</v>
      </c>
      <c r="J46">
        <v>1</v>
      </c>
      <c r="K46">
        <v>1</v>
      </c>
      <c r="L46" t="s">
        <v>122</v>
      </c>
      <c r="M46">
        <v>3</v>
      </c>
      <c r="N46">
        <v>0</v>
      </c>
      <c r="O46">
        <v>0</v>
      </c>
      <c r="P46">
        <v>0</v>
      </c>
      <c r="Q46" t="s">
        <v>92</v>
      </c>
      <c r="R46" t="s">
        <v>112</v>
      </c>
      <c r="S46" t="s">
        <v>46</v>
      </c>
      <c r="T46" t="s">
        <v>62</v>
      </c>
      <c r="U46" t="s">
        <v>61</v>
      </c>
      <c r="V46" t="s">
        <v>43</v>
      </c>
      <c r="W46" t="s">
        <v>122</v>
      </c>
      <c r="X46" t="s">
        <v>150</v>
      </c>
      <c r="Y46" t="s">
        <v>60</v>
      </c>
      <c r="Z46" t="s">
        <v>43</v>
      </c>
      <c r="AA46" t="s">
        <v>122</v>
      </c>
      <c r="AB46" t="s">
        <v>173</v>
      </c>
      <c r="AC46" t="s">
        <v>99</v>
      </c>
      <c r="AD46" t="s">
        <v>66</v>
      </c>
      <c r="AE46" t="s">
        <v>84</v>
      </c>
      <c r="AF46" t="s">
        <v>73</v>
      </c>
      <c r="AG46">
        <v>0</v>
      </c>
      <c r="AH46">
        <v>0</v>
      </c>
      <c r="AI46">
        <v>0</v>
      </c>
      <c r="AJ46">
        <v>0</v>
      </c>
      <c r="AK46">
        <v>2</v>
      </c>
      <c r="AL46">
        <v>0</v>
      </c>
      <c r="AM46">
        <v>0</v>
      </c>
      <c r="AN46">
        <v>2</v>
      </c>
      <c r="AQ46">
        <f t="shared" si="0"/>
        <v>17</v>
      </c>
    </row>
    <row r="47" spans="1:43" x14ac:dyDescent="0.35">
      <c r="A47" t="s">
        <v>216</v>
      </c>
      <c r="B47">
        <v>28</v>
      </c>
      <c r="C47" t="s">
        <v>57</v>
      </c>
      <c r="D47">
        <v>2</v>
      </c>
      <c r="E47">
        <v>1</v>
      </c>
      <c r="F47">
        <v>2</v>
      </c>
      <c r="G47">
        <v>11</v>
      </c>
      <c r="H47">
        <v>0.9</v>
      </c>
      <c r="I47" t="s">
        <v>217</v>
      </c>
      <c r="J47">
        <v>0</v>
      </c>
      <c r="K47">
        <v>0</v>
      </c>
      <c r="L47" t="s">
        <v>46</v>
      </c>
      <c r="M47">
        <v>0</v>
      </c>
      <c r="N47">
        <v>2</v>
      </c>
      <c r="O47">
        <v>0</v>
      </c>
      <c r="P47">
        <v>0</v>
      </c>
      <c r="Q47" t="s">
        <v>91</v>
      </c>
      <c r="R47" t="s">
        <v>112</v>
      </c>
      <c r="S47" t="s">
        <v>46</v>
      </c>
      <c r="T47" t="s">
        <v>91</v>
      </c>
      <c r="U47" t="s">
        <v>111</v>
      </c>
      <c r="V47" t="s">
        <v>111</v>
      </c>
      <c r="W47" t="s">
        <v>46</v>
      </c>
      <c r="X47" t="s">
        <v>92</v>
      </c>
      <c r="Y47" t="s">
        <v>114</v>
      </c>
      <c r="Z47" t="s">
        <v>114</v>
      </c>
      <c r="AA47" t="s">
        <v>46</v>
      </c>
      <c r="AB47" t="s">
        <v>111</v>
      </c>
      <c r="AC47" t="s">
        <v>67</v>
      </c>
      <c r="AD47" t="s">
        <v>67</v>
      </c>
      <c r="AE47" t="s">
        <v>46</v>
      </c>
      <c r="AF47" t="s">
        <v>173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1</v>
      </c>
      <c r="AM47">
        <v>0</v>
      </c>
      <c r="AN47">
        <v>2</v>
      </c>
      <c r="AQ47">
        <f t="shared" si="0"/>
        <v>56.5</v>
      </c>
    </row>
    <row r="48" spans="1:43" x14ac:dyDescent="0.35">
      <c r="A48" t="s">
        <v>218</v>
      </c>
      <c r="B48">
        <v>29</v>
      </c>
      <c r="C48" t="s">
        <v>40</v>
      </c>
      <c r="D48">
        <v>2</v>
      </c>
      <c r="E48">
        <v>2</v>
      </c>
      <c r="F48">
        <v>2</v>
      </c>
      <c r="G48">
        <v>11</v>
      </c>
      <c r="H48">
        <v>1</v>
      </c>
      <c r="I48" t="s">
        <v>219</v>
      </c>
      <c r="J48">
        <v>0</v>
      </c>
      <c r="K48">
        <v>1</v>
      </c>
      <c r="L48" t="s">
        <v>84</v>
      </c>
      <c r="M48">
        <v>0</v>
      </c>
      <c r="N48">
        <v>2</v>
      </c>
      <c r="O48">
        <v>0</v>
      </c>
      <c r="P48">
        <v>0</v>
      </c>
      <c r="Q48" t="s">
        <v>58</v>
      </c>
      <c r="R48" t="s">
        <v>112</v>
      </c>
      <c r="S48" t="s">
        <v>46</v>
      </c>
      <c r="T48" t="s">
        <v>82</v>
      </c>
      <c r="U48" t="s">
        <v>106</v>
      </c>
      <c r="V48" t="s">
        <v>105</v>
      </c>
      <c r="W48" t="s">
        <v>46</v>
      </c>
      <c r="X48" t="s">
        <v>161</v>
      </c>
      <c r="Y48" t="s">
        <v>78</v>
      </c>
      <c r="Z48" t="s">
        <v>105</v>
      </c>
      <c r="AA48" t="s">
        <v>46</v>
      </c>
      <c r="AB48" t="s">
        <v>52</v>
      </c>
      <c r="AC48" t="s">
        <v>99</v>
      </c>
      <c r="AD48" t="s">
        <v>66</v>
      </c>
      <c r="AE48" t="s">
        <v>46</v>
      </c>
      <c r="AF48" t="s">
        <v>51</v>
      </c>
      <c r="AG48">
        <v>1</v>
      </c>
      <c r="AH48">
        <v>0</v>
      </c>
      <c r="AI48">
        <v>0</v>
      </c>
      <c r="AJ48">
        <v>1</v>
      </c>
      <c r="AK48">
        <v>1</v>
      </c>
      <c r="AL48">
        <v>0</v>
      </c>
      <c r="AM48">
        <v>0</v>
      </c>
      <c r="AN48">
        <v>1</v>
      </c>
      <c r="AQ48">
        <f t="shared" si="0"/>
        <v>50</v>
      </c>
    </row>
    <row r="49" spans="1:43" x14ac:dyDescent="0.35">
      <c r="A49" t="s">
        <v>220</v>
      </c>
      <c r="B49">
        <v>29</v>
      </c>
      <c r="C49" t="s">
        <v>57</v>
      </c>
      <c r="D49">
        <v>1</v>
      </c>
      <c r="E49">
        <v>2</v>
      </c>
      <c r="F49">
        <v>1</v>
      </c>
      <c r="G49">
        <v>7</v>
      </c>
      <c r="H49">
        <v>1.3</v>
      </c>
      <c r="I49" t="s">
        <v>182</v>
      </c>
      <c r="J49">
        <v>0</v>
      </c>
      <c r="K49">
        <v>3</v>
      </c>
      <c r="L49" t="s">
        <v>96</v>
      </c>
      <c r="M49">
        <v>1</v>
      </c>
      <c r="N49">
        <v>0</v>
      </c>
      <c r="O49">
        <v>0</v>
      </c>
      <c r="P49">
        <v>0</v>
      </c>
      <c r="Q49" t="s">
        <v>83</v>
      </c>
      <c r="R49" t="s">
        <v>112</v>
      </c>
      <c r="S49" t="s">
        <v>46</v>
      </c>
      <c r="T49" t="s">
        <v>91</v>
      </c>
      <c r="U49" t="s">
        <v>96</v>
      </c>
      <c r="V49" t="s">
        <v>45</v>
      </c>
      <c r="W49" t="s">
        <v>46</v>
      </c>
      <c r="X49" t="s">
        <v>49</v>
      </c>
      <c r="Y49" t="s">
        <v>96</v>
      </c>
      <c r="Z49" t="s">
        <v>45</v>
      </c>
      <c r="AA49" t="s">
        <v>46</v>
      </c>
      <c r="AB49" t="s">
        <v>49</v>
      </c>
      <c r="AC49" t="s">
        <v>117</v>
      </c>
      <c r="AD49" t="s">
        <v>84</v>
      </c>
      <c r="AE49" t="s">
        <v>46</v>
      </c>
      <c r="AF49" t="s">
        <v>76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Q49">
        <f t="shared" si="0"/>
        <v>35.5</v>
      </c>
    </row>
    <row r="50" spans="1:43" x14ac:dyDescent="0.35">
      <c r="A50" t="s">
        <v>221</v>
      </c>
      <c r="B50">
        <v>31</v>
      </c>
      <c r="C50" t="s">
        <v>40</v>
      </c>
      <c r="D50">
        <v>2</v>
      </c>
      <c r="E50">
        <v>4</v>
      </c>
      <c r="F50">
        <v>1</v>
      </c>
      <c r="G50">
        <v>6</v>
      </c>
      <c r="H50">
        <v>0.9</v>
      </c>
      <c r="I50" t="s">
        <v>185</v>
      </c>
      <c r="J50">
        <v>0</v>
      </c>
      <c r="K50">
        <v>13</v>
      </c>
      <c r="L50" t="s">
        <v>222</v>
      </c>
      <c r="M50">
        <v>5</v>
      </c>
      <c r="N50">
        <v>1</v>
      </c>
      <c r="O50">
        <v>0</v>
      </c>
      <c r="P50">
        <v>0</v>
      </c>
      <c r="Q50" t="s">
        <v>122</v>
      </c>
      <c r="R50" t="s">
        <v>124</v>
      </c>
      <c r="S50" t="s">
        <v>46</v>
      </c>
      <c r="T50" t="s">
        <v>84</v>
      </c>
      <c r="U50" t="s">
        <v>61</v>
      </c>
      <c r="V50" t="s">
        <v>61</v>
      </c>
      <c r="W50" t="s">
        <v>46</v>
      </c>
      <c r="X50" t="s">
        <v>185</v>
      </c>
      <c r="Y50" t="s">
        <v>43</v>
      </c>
      <c r="Z50" t="s">
        <v>61</v>
      </c>
      <c r="AA50" t="s">
        <v>46</v>
      </c>
      <c r="AB50" t="s">
        <v>73</v>
      </c>
      <c r="AC50" t="s">
        <v>76</v>
      </c>
      <c r="AD50" t="s">
        <v>117</v>
      </c>
      <c r="AE50" t="s">
        <v>46</v>
      </c>
      <c r="AF50" t="s">
        <v>62</v>
      </c>
      <c r="AG50">
        <v>0</v>
      </c>
      <c r="AH50">
        <v>0</v>
      </c>
      <c r="AI50">
        <v>0</v>
      </c>
      <c r="AJ50">
        <v>0</v>
      </c>
      <c r="AK50">
        <v>2</v>
      </c>
      <c r="AL50">
        <v>0</v>
      </c>
      <c r="AM50">
        <v>0</v>
      </c>
      <c r="AN50">
        <v>2</v>
      </c>
      <c r="AQ50">
        <f t="shared" si="0"/>
        <v>56.5</v>
      </c>
    </row>
    <row r="51" spans="1:43" x14ac:dyDescent="0.35">
      <c r="A51" t="s">
        <v>223</v>
      </c>
      <c r="B51">
        <v>31</v>
      </c>
      <c r="C51" t="s">
        <v>57</v>
      </c>
      <c r="D51">
        <v>1</v>
      </c>
      <c r="E51">
        <v>4</v>
      </c>
      <c r="F51">
        <v>2</v>
      </c>
      <c r="G51">
        <v>12</v>
      </c>
      <c r="H51">
        <v>1.3</v>
      </c>
      <c r="I51" t="s">
        <v>224</v>
      </c>
      <c r="J51">
        <v>0</v>
      </c>
      <c r="K51">
        <v>0</v>
      </c>
      <c r="L51" t="s">
        <v>46</v>
      </c>
      <c r="M51">
        <v>0</v>
      </c>
      <c r="N51">
        <v>7</v>
      </c>
      <c r="O51">
        <v>0</v>
      </c>
      <c r="P51">
        <v>1</v>
      </c>
      <c r="Q51" t="s">
        <v>46</v>
      </c>
      <c r="R51" t="s">
        <v>78</v>
      </c>
      <c r="S51" t="s">
        <v>104</v>
      </c>
      <c r="T51" t="s">
        <v>133</v>
      </c>
      <c r="U51" t="s">
        <v>46</v>
      </c>
      <c r="V51" t="s">
        <v>107</v>
      </c>
      <c r="W51" t="s">
        <v>70</v>
      </c>
      <c r="X51" t="s">
        <v>157</v>
      </c>
      <c r="Y51" t="s">
        <v>46</v>
      </c>
      <c r="Z51" t="s">
        <v>99</v>
      </c>
      <c r="AA51" t="s">
        <v>46</v>
      </c>
      <c r="AB51" t="s">
        <v>99</v>
      </c>
      <c r="AC51" t="s">
        <v>46</v>
      </c>
      <c r="AD51" t="s">
        <v>90</v>
      </c>
      <c r="AE51" t="s">
        <v>67</v>
      </c>
      <c r="AF51" t="s">
        <v>142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5</v>
      </c>
      <c r="AM51">
        <v>1</v>
      </c>
      <c r="AN51">
        <v>6</v>
      </c>
      <c r="AQ51">
        <f t="shared" si="0"/>
        <v>35.5</v>
      </c>
    </row>
    <row r="52" spans="1:43" x14ac:dyDescent="0.35">
      <c r="A52" t="s">
        <v>225</v>
      </c>
      <c r="B52">
        <v>32</v>
      </c>
      <c r="C52" t="s">
        <v>40</v>
      </c>
      <c r="D52">
        <v>1</v>
      </c>
      <c r="E52">
        <v>1</v>
      </c>
      <c r="F52">
        <v>1</v>
      </c>
      <c r="G52">
        <v>22</v>
      </c>
      <c r="H52">
        <v>1.6</v>
      </c>
      <c r="I52" t="s">
        <v>226</v>
      </c>
      <c r="J52">
        <v>7</v>
      </c>
      <c r="K52">
        <v>6</v>
      </c>
      <c r="L52" t="s">
        <v>97</v>
      </c>
      <c r="M52">
        <v>7</v>
      </c>
      <c r="N52">
        <v>0</v>
      </c>
      <c r="O52">
        <v>9</v>
      </c>
      <c r="P52">
        <v>0</v>
      </c>
      <c r="Q52" t="s">
        <v>43</v>
      </c>
      <c r="R52" t="s">
        <v>58</v>
      </c>
      <c r="S52" t="s">
        <v>46</v>
      </c>
      <c r="T52" t="s">
        <v>96</v>
      </c>
      <c r="U52" t="s">
        <v>43</v>
      </c>
      <c r="V52" t="s">
        <v>62</v>
      </c>
      <c r="W52" t="s">
        <v>46</v>
      </c>
      <c r="X52" t="s">
        <v>182</v>
      </c>
      <c r="Y52" t="s">
        <v>43</v>
      </c>
      <c r="Z52" t="s">
        <v>85</v>
      </c>
      <c r="AA52" t="s">
        <v>46</v>
      </c>
      <c r="AB52" t="s">
        <v>62</v>
      </c>
      <c r="AC52" t="s">
        <v>67</v>
      </c>
      <c r="AD52" t="s">
        <v>78</v>
      </c>
      <c r="AE52" t="s">
        <v>46</v>
      </c>
      <c r="AF52" t="s">
        <v>52</v>
      </c>
      <c r="AG52">
        <v>0</v>
      </c>
      <c r="AH52">
        <v>2</v>
      </c>
      <c r="AI52">
        <v>0</v>
      </c>
      <c r="AJ52">
        <v>2</v>
      </c>
      <c r="AK52">
        <v>0</v>
      </c>
      <c r="AL52">
        <v>2</v>
      </c>
      <c r="AM52">
        <v>0</v>
      </c>
      <c r="AN52">
        <v>2</v>
      </c>
      <c r="AQ52">
        <f t="shared" si="0"/>
        <v>21.5</v>
      </c>
    </row>
    <row r="53" spans="1:43" x14ac:dyDescent="0.35">
      <c r="A53" t="s">
        <v>227</v>
      </c>
      <c r="B53">
        <v>32</v>
      </c>
      <c r="C53" t="s">
        <v>57</v>
      </c>
      <c r="D53">
        <v>2</v>
      </c>
      <c r="E53">
        <v>1</v>
      </c>
      <c r="F53">
        <v>2</v>
      </c>
      <c r="G53">
        <v>22</v>
      </c>
      <c r="H53">
        <v>1.4</v>
      </c>
      <c r="I53" t="s">
        <v>228</v>
      </c>
      <c r="J53">
        <v>0</v>
      </c>
      <c r="K53">
        <v>2</v>
      </c>
      <c r="L53" t="s">
        <v>66</v>
      </c>
      <c r="M53">
        <v>0</v>
      </c>
      <c r="N53">
        <v>5</v>
      </c>
      <c r="O53">
        <v>0</v>
      </c>
      <c r="P53">
        <v>4</v>
      </c>
      <c r="Q53" t="s">
        <v>114</v>
      </c>
      <c r="R53" t="s">
        <v>116</v>
      </c>
      <c r="S53" t="s">
        <v>91</v>
      </c>
      <c r="T53" t="s">
        <v>78</v>
      </c>
      <c r="U53" t="s">
        <v>71</v>
      </c>
      <c r="V53" t="s">
        <v>136</v>
      </c>
      <c r="W53" t="s">
        <v>70</v>
      </c>
      <c r="X53" t="s">
        <v>125</v>
      </c>
      <c r="Y53" t="s">
        <v>99</v>
      </c>
      <c r="Z53" t="s">
        <v>66</v>
      </c>
      <c r="AA53" t="s">
        <v>46</v>
      </c>
      <c r="AB53" t="s">
        <v>51</v>
      </c>
      <c r="AC53" t="s">
        <v>76</v>
      </c>
      <c r="AD53" t="s">
        <v>135</v>
      </c>
      <c r="AE53" t="s">
        <v>67</v>
      </c>
      <c r="AF53" t="s">
        <v>44</v>
      </c>
      <c r="AG53">
        <v>1</v>
      </c>
      <c r="AH53">
        <v>0</v>
      </c>
      <c r="AI53">
        <v>0</v>
      </c>
      <c r="AJ53">
        <v>1</v>
      </c>
      <c r="AK53">
        <v>1</v>
      </c>
      <c r="AL53">
        <v>5</v>
      </c>
      <c r="AM53">
        <v>1</v>
      </c>
      <c r="AN53">
        <v>7</v>
      </c>
      <c r="AQ53">
        <f t="shared" si="0"/>
        <v>29.5</v>
      </c>
    </row>
    <row r="54" spans="1:43" x14ac:dyDescent="0.35">
      <c r="A54" t="s">
        <v>229</v>
      </c>
      <c r="B54">
        <v>33</v>
      </c>
      <c r="C54" t="s">
        <v>40</v>
      </c>
      <c r="D54">
        <v>2</v>
      </c>
      <c r="E54">
        <v>2</v>
      </c>
      <c r="F54">
        <v>2</v>
      </c>
      <c r="G54">
        <v>17</v>
      </c>
      <c r="H54">
        <v>1.3</v>
      </c>
      <c r="I54" t="s">
        <v>230</v>
      </c>
      <c r="J54">
        <v>0</v>
      </c>
      <c r="K54">
        <v>1</v>
      </c>
      <c r="L54" t="s">
        <v>45</v>
      </c>
      <c r="M54">
        <v>2</v>
      </c>
      <c r="N54">
        <v>4</v>
      </c>
      <c r="O54">
        <v>0</v>
      </c>
      <c r="P54">
        <v>1</v>
      </c>
      <c r="Q54" t="s">
        <v>99</v>
      </c>
      <c r="R54" t="s">
        <v>60</v>
      </c>
      <c r="S54" t="s">
        <v>46</v>
      </c>
      <c r="T54" t="s">
        <v>174</v>
      </c>
      <c r="U54" t="s">
        <v>142</v>
      </c>
      <c r="V54" t="s">
        <v>60</v>
      </c>
      <c r="W54" t="s">
        <v>46</v>
      </c>
      <c r="X54" t="s">
        <v>185</v>
      </c>
      <c r="Y54" t="s">
        <v>142</v>
      </c>
      <c r="Z54" t="s">
        <v>46</v>
      </c>
      <c r="AA54" t="s">
        <v>46</v>
      </c>
      <c r="AB54" t="s">
        <v>142</v>
      </c>
      <c r="AC54" t="s">
        <v>99</v>
      </c>
      <c r="AD54" t="s">
        <v>76</v>
      </c>
      <c r="AE54" t="s">
        <v>46</v>
      </c>
      <c r="AF54" t="s">
        <v>78</v>
      </c>
      <c r="AG54">
        <v>1</v>
      </c>
      <c r="AH54">
        <v>0</v>
      </c>
      <c r="AI54">
        <v>0</v>
      </c>
      <c r="AJ54">
        <v>1</v>
      </c>
      <c r="AK54">
        <v>0</v>
      </c>
      <c r="AL54">
        <v>3</v>
      </c>
      <c r="AM54">
        <v>0</v>
      </c>
      <c r="AN54">
        <v>3</v>
      </c>
      <c r="AQ54">
        <f t="shared" si="0"/>
        <v>35.5</v>
      </c>
    </row>
    <row r="55" spans="1:43" x14ac:dyDescent="0.35">
      <c r="A55" t="s">
        <v>231</v>
      </c>
      <c r="B55">
        <v>33</v>
      </c>
      <c r="C55" t="s">
        <v>57</v>
      </c>
      <c r="D55">
        <v>1</v>
      </c>
      <c r="E55">
        <v>2</v>
      </c>
      <c r="F55">
        <v>1</v>
      </c>
      <c r="G55">
        <v>13</v>
      </c>
      <c r="H55">
        <v>1.2</v>
      </c>
      <c r="I55" t="s">
        <v>50</v>
      </c>
      <c r="J55">
        <v>0</v>
      </c>
      <c r="K55">
        <v>5</v>
      </c>
      <c r="L55" t="s">
        <v>173</v>
      </c>
      <c r="M55">
        <v>3</v>
      </c>
      <c r="N55">
        <v>0</v>
      </c>
      <c r="O55">
        <v>2</v>
      </c>
      <c r="P55">
        <v>0</v>
      </c>
      <c r="Q55" t="s">
        <v>58</v>
      </c>
      <c r="R55" t="s">
        <v>46</v>
      </c>
      <c r="S55" t="s">
        <v>112</v>
      </c>
      <c r="T55" t="s">
        <v>82</v>
      </c>
      <c r="U55" t="s">
        <v>96</v>
      </c>
      <c r="V55" t="s">
        <v>45</v>
      </c>
      <c r="W55" t="s">
        <v>41</v>
      </c>
      <c r="X55" t="s">
        <v>94</v>
      </c>
      <c r="Y55" t="s">
        <v>41</v>
      </c>
      <c r="Z55" t="s">
        <v>45</v>
      </c>
      <c r="AA55" t="s">
        <v>41</v>
      </c>
      <c r="AB55" t="s">
        <v>173</v>
      </c>
      <c r="AC55" t="s">
        <v>67</v>
      </c>
      <c r="AD55" t="s">
        <v>84</v>
      </c>
      <c r="AE55" t="s">
        <v>66</v>
      </c>
      <c r="AF55" t="s">
        <v>174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1</v>
      </c>
      <c r="AQ55">
        <f t="shared" si="0"/>
        <v>42</v>
      </c>
    </row>
    <row r="56" spans="1:43" x14ac:dyDescent="0.35">
      <c r="A56" t="s">
        <v>232</v>
      </c>
      <c r="B56">
        <v>36</v>
      </c>
      <c r="C56" t="s">
        <v>40</v>
      </c>
      <c r="D56">
        <v>1</v>
      </c>
      <c r="E56">
        <v>1</v>
      </c>
      <c r="F56">
        <v>1</v>
      </c>
      <c r="G56">
        <v>14</v>
      </c>
      <c r="H56">
        <v>1.1000000000000001</v>
      </c>
      <c r="I56" t="s">
        <v>233</v>
      </c>
      <c r="J56">
        <v>0</v>
      </c>
      <c r="K56">
        <v>4</v>
      </c>
      <c r="L56" t="s">
        <v>51</v>
      </c>
      <c r="M56">
        <v>1</v>
      </c>
      <c r="N56">
        <v>0</v>
      </c>
      <c r="O56">
        <v>0</v>
      </c>
      <c r="P56">
        <v>0</v>
      </c>
      <c r="Q56" t="s">
        <v>82</v>
      </c>
      <c r="R56" t="s">
        <v>112</v>
      </c>
      <c r="S56" t="s">
        <v>46</v>
      </c>
      <c r="T56" t="s">
        <v>66</v>
      </c>
      <c r="U56" t="s">
        <v>142</v>
      </c>
      <c r="V56" t="s">
        <v>54</v>
      </c>
      <c r="W56" t="s">
        <v>46</v>
      </c>
      <c r="X56" t="s">
        <v>115</v>
      </c>
      <c r="Y56" t="s">
        <v>51</v>
      </c>
      <c r="Z56" t="s">
        <v>54</v>
      </c>
      <c r="AA56" t="s">
        <v>46</v>
      </c>
      <c r="AB56" t="s">
        <v>182</v>
      </c>
      <c r="AC56" t="s">
        <v>77</v>
      </c>
      <c r="AD56" t="s">
        <v>67</v>
      </c>
      <c r="AE56" t="s">
        <v>46</v>
      </c>
      <c r="AF56" t="s">
        <v>174</v>
      </c>
      <c r="AG56">
        <v>1</v>
      </c>
      <c r="AH56">
        <v>0</v>
      </c>
      <c r="AI56">
        <v>0</v>
      </c>
      <c r="AJ56">
        <v>1</v>
      </c>
      <c r="AK56">
        <v>1</v>
      </c>
      <c r="AL56">
        <v>0</v>
      </c>
      <c r="AM56">
        <v>0</v>
      </c>
      <c r="AN56">
        <v>1</v>
      </c>
      <c r="AQ56">
        <f t="shared" si="0"/>
        <v>46</v>
      </c>
    </row>
    <row r="57" spans="1:43" x14ac:dyDescent="0.35">
      <c r="A57" t="s">
        <v>234</v>
      </c>
      <c r="B57">
        <v>36</v>
      </c>
      <c r="C57" t="s">
        <v>57</v>
      </c>
      <c r="D57">
        <v>2</v>
      </c>
      <c r="E57">
        <v>1</v>
      </c>
      <c r="F57">
        <v>2</v>
      </c>
      <c r="G57">
        <v>10</v>
      </c>
      <c r="H57">
        <v>0.9</v>
      </c>
      <c r="I57" t="s">
        <v>235</v>
      </c>
      <c r="J57">
        <v>0</v>
      </c>
      <c r="K57">
        <v>0</v>
      </c>
      <c r="L57" t="s">
        <v>46</v>
      </c>
      <c r="M57">
        <v>0</v>
      </c>
      <c r="N57">
        <v>1</v>
      </c>
      <c r="O57">
        <v>0</v>
      </c>
      <c r="P57">
        <v>0</v>
      </c>
      <c r="Q57" t="s">
        <v>104</v>
      </c>
      <c r="R57" t="s">
        <v>46</v>
      </c>
      <c r="S57" t="s">
        <v>46</v>
      </c>
      <c r="T57" t="s">
        <v>124</v>
      </c>
      <c r="U57" t="s">
        <v>60</v>
      </c>
      <c r="V57" t="s">
        <v>43</v>
      </c>
      <c r="W57" t="s">
        <v>46</v>
      </c>
      <c r="X57" t="s">
        <v>61</v>
      </c>
      <c r="Y57" t="s">
        <v>60</v>
      </c>
      <c r="Z57" t="s">
        <v>43</v>
      </c>
      <c r="AA57" t="s">
        <v>46</v>
      </c>
      <c r="AB57" t="s">
        <v>61</v>
      </c>
      <c r="AC57" t="s">
        <v>66</v>
      </c>
      <c r="AD57" t="s">
        <v>84</v>
      </c>
      <c r="AE57" t="s">
        <v>46</v>
      </c>
      <c r="AF57" t="s">
        <v>77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Q57">
        <f t="shared" si="0"/>
        <v>56.5</v>
      </c>
    </row>
    <row r="58" spans="1:43" x14ac:dyDescent="0.35">
      <c r="A58" t="s">
        <v>236</v>
      </c>
      <c r="B58">
        <v>37</v>
      </c>
      <c r="C58" t="s">
        <v>40</v>
      </c>
      <c r="D58">
        <v>2</v>
      </c>
      <c r="E58">
        <v>2</v>
      </c>
      <c r="F58">
        <v>2</v>
      </c>
      <c r="G58">
        <v>7</v>
      </c>
      <c r="H58">
        <v>1.1000000000000001</v>
      </c>
      <c r="I58" t="s">
        <v>157</v>
      </c>
      <c r="J58">
        <v>0</v>
      </c>
      <c r="K58">
        <v>3</v>
      </c>
      <c r="L58" t="s">
        <v>71</v>
      </c>
      <c r="M58">
        <v>0</v>
      </c>
      <c r="N58">
        <v>1</v>
      </c>
      <c r="O58">
        <v>0</v>
      </c>
      <c r="P58">
        <v>0</v>
      </c>
      <c r="Q58" t="s">
        <v>122</v>
      </c>
      <c r="R58" t="s">
        <v>112</v>
      </c>
      <c r="S58" t="s">
        <v>46</v>
      </c>
      <c r="T58" t="s">
        <v>70</v>
      </c>
      <c r="U58" t="s">
        <v>71</v>
      </c>
      <c r="V58" t="s">
        <v>84</v>
      </c>
      <c r="W58" t="s">
        <v>46</v>
      </c>
      <c r="X58" t="s">
        <v>113</v>
      </c>
      <c r="Y58" t="s">
        <v>105</v>
      </c>
      <c r="Z58" t="s">
        <v>46</v>
      </c>
      <c r="AA58" t="s">
        <v>46</v>
      </c>
      <c r="AB58" t="s">
        <v>105</v>
      </c>
      <c r="AC58" t="s">
        <v>67</v>
      </c>
      <c r="AD58" t="s">
        <v>67</v>
      </c>
      <c r="AE58" t="s">
        <v>46</v>
      </c>
      <c r="AF58" t="s">
        <v>173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1</v>
      </c>
      <c r="AM58">
        <v>0</v>
      </c>
      <c r="AN58">
        <v>2</v>
      </c>
      <c r="AQ58">
        <f t="shared" si="0"/>
        <v>46</v>
      </c>
    </row>
    <row r="59" spans="1:43" x14ac:dyDescent="0.35">
      <c r="A59" t="s">
        <v>237</v>
      </c>
      <c r="B59">
        <v>37</v>
      </c>
      <c r="C59" t="s">
        <v>57</v>
      </c>
      <c r="D59">
        <v>1</v>
      </c>
      <c r="E59">
        <v>2</v>
      </c>
      <c r="F59">
        <v>1</v>
      </c>
      <c r="G59">
        <v>22</v>
      </c>
      <c r="H59">
        <v>1.2</v>
      </c>
      <c r="I59" t="s">
        <v>209</v>
      </c>
      <c r="J59">
        <v>3</v>
      </c>
      <c r="K59">
        <v>35</v>
      </c>
      <c r="L59" t="s">
        <v>238</v>
      </c>
      <c r="M59">
        <v>4</v>
      </c>
      <c r="N59">
        <v>0</v>
      </c>
      <c r="O59">
        <v>9</v>
      </c>
      <c r="P59">
        <v>0</v>
      </c>
      <c r="Q59" t="s">
        <v>112</v>
      </c>
      <c r="R59" t="s">
        <v>91</v>
      </c>
      <c r="S59" t="s">
        <v>46</v>
      </c>
      <c r="T59" t="s">
        <v>122</v>
      </c>
      <c r="U59" t="s">
        <v>144</v>
      </c>
      <c r="V59" t="s">
        <v>90</v>
      </c>
      <c r="W59" t="s">
        <v>46</v>
      </c>
      <c r="X59" t="s">
        <v>61</v>
      </c>
      <c r="Y59" t="s">
        <v>46</v>
      </c>
      <c r="Z59" t="s">
        <v>144</v>
      </c>
      <c r="AA59" t="s">
        <v>46</v>
      </c>
      <c r="AB59" t="s">
        <v>144</v>
      </c>
      <c r="AC59" t="s">
        <v>67</v>
      </c>
      <c r="AD59" t="s">
        <v>116</v>
      </c>
      <c r="AE59" t="s">
        <v>46</v>
      </c>
      <c r="AF59" t="s">
        <v>137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2</v>
      </c>
      <c r="AM59">
        <v>0</v>
      </c>
      <c r="AN59">
        <v>3</v>
      </c>
      <c r="AQ59">
        <f t="shared" si="0"/>
        <v>42</v>
      </c>
    </row>
    <row r="60" spans="1:43" x14ac:dyDescent="0.35">
      <c r="A60" t="s">
        <v>239</v>
      </c>
      <c r="B60">
        <v>38</v>
      </c>
      <c r="C60" t="s">
        <v>40</v>
      </c>
      <c r="D60">
        <v>1</v>
      </c>
      <c r="E60">
        <v>3</v>
      </c>
      <c r="F60">
        <v>2</v>
      </c>
      <c r="G60">
        <v>22</v>
      </c>
      <c r="H60">
        <v>3.8</v>
      </c>
      <c r="I60" t="s">
        <v>106</v>
      </c>
      <c r="J60">
        <v>0</v>
      </c>
      <c r="K60">
        <v>5</v>
      </c>
      <c r="L60" t="s">
        <v>58</v>
      </c>
      <c r="M60">
        <v>1</v>
      </c>
      <c r="N60">
        <v>4</v>
      </c>
      <c r="O60">
        <v>2</v>
      </c>
      <c r="P60">
        <v>3</v>
      </c>
      <c r="Q60" t="s">
        <v>240</v>
      </c>
      <c r="R60" t="s">
        <v>241</v>
      </c>
      <c r="S60" t="s">
        <v>46</v>
      </c>
      <c r="T60" t="s">
        <v>242</v>
      </c>
      <c r="U60" t="s">
        <v>96</v>
      </c>
      <c r="V60" t="s">
        <v>41</v>
      </c>
      <c r="W60" t="s">
        <v>46</v>
      </c>
      <c r="X60" t="s">
        <v>173</v>
      </c>
      <c r="Y60" t="s">
        <v>58</v>
      </c>
      <c r="Z60" t="s">
        <v>114</v>
      </c>
      <c r="AA60" t="s">
        <v>46</v>
      </c>
      <c r="AB60" t="s">
        <v>96</v>
      </c>
      <c r="AC60" t="s">
        <v>90</v>
      </c>
      <c r="AD60" t="s">
        <v>76</v>
      </c>
      <c r="AE60" t="s">
        <v>46</v>
      </c>
      <c r="AF60" t="s">
        <v>150</v>
      </c>
      <c r="AG60">
        <v>0</v>
      </c>
      <c r="AH60">
        <v>0</v>
      </c>
      <c r="AI60">
        <v>0</v>
      </c>
      <c r="AJ60">
        <v>0</v>
      </c>
      <c r="AK60">
        <v>4</v>
      </c>
      <c r="AL60">
        <v>2</v>
      </c>
      <c r="AM60">
        <v>0</v>
      </c>
      <c r="AN60">
        <v>6</v>
      </c>
      <c r="AQ60">
        <f t="shared" si="0"/>
        <v>2.5</v>
      </c>
    </row>
    <row r="61" spans="1:43" x14ac:dyDescent="0.35">
      <c r="A61" t="s">
        <v>243</v>
      </c>
      <c r="B61">
        <v>38</v>
      </c>
      <c r="C61" t="s">
        <v>57</v>
      </c>
      <c r="D61">
        <v>2</v>
      </c>
      <c r="E61">
        <v>3</v>
      </c>
      <c r="F61">
        <v>1</v>
      </c>
      <c r="G61">
        <v>13</v>
      </c>
      <c r="H61">
        <v>1.3</v>
      </c>
      <c r="I61" t="s">
        <v>120</v>
      </c>
      <c r="J61">
        <v>0</v>
      </c>
      <c r="K61">
        <v>27</v>
      </c>
      <c r="L61" t="s">
        <v>244</v>
      </c>
      <c r="M61">
        <v>7</v>
      </c>
      <c r="N61">
        <v>0</v>
      </c>
      <c r="O61">
        <v>3</v>
      </c>
      <c r="P61">
        <v>0</v>
      </c>
      <c r="Q61" t="s">
        <v>114</v>
      </c>
      <c r="R61" t="s">
        <v>122</v>
      </c>
      <c r="S61" t="s">
        <v>46</v>
      </c>
      <c r="T61" t="s">
        <v>117</v>
      </c>
      <c r="U61" t="s">
        <v>60</v>
      </c>
      <c r="V61" t="s">
        <v>72</v>
      </c>
      <c r="W61" t="s">
        <v>46</v>
      </c>
      <c r="X61" t="s">
        <v>210</v>
      </c>
      <c r="Y61" t="s">
        <v>41</v>
      </c>
      <c r="Z61" t="s">
        <v>72</v>
      </c>
      <c r="AA61" t="s">
        <v>46</v>
      </c>
      <c r="AB61" t="s">
        <v>182</v>
      </c>
      <c r="AC61" t="s">
        <v>67</v>
      </c>
      <c r="AD61" t="s">
        <v>54</v>
      </c>
      <c r="AE61" t="s">
        <v>46</v>
      </c>
      <c r="AF61" t="s">
        <v>113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1</v>
      </c>
      <c r="AQ61">
        <f t="shared" si="0"/>
        <v>35.5</v>
      </c>
    </row>
    <row r="62" spans="1:43" x14ac:dyDescent="0.35">
      <c r="A62" t="s">
        <v>245</v>
      </c>
      <c r="B62">
        <v>39</v>
      </c>
      <c r="C62" t="s">
        <v>40</v>
      </c>
      <c r="D62">
        <v>2</v>
      </c>
      <c r="E62">
        <v>4</v>
      </c>
      <c r="F62">
        <v>1</v>
      </c>
      <c r="G62">
        <v>12</v>
      </c>
      <c r="H62">
        <v>0.9</v>
      </c>
      <c r="I62" t="s">
        <v>184</v>
      </c>
      <c r="J62">
        <v>0</v>
      </c>
      <c r="K62">
        <v>3</v>
      </c>
      <c r="L62" t="s">
        <v>86</v>
      </c>
      <c r="M62">
        <v>3</v>
      </c>
      <c r="N62">
        <v>0</v>
      </c>
      <c r="O62">
        <v>0</v>
      </c>
      <c r="P62">
        <v>0</v>
      </c>
      <c r="Q62" t="s">
        <v>82</v>
      </c>
      <c r="R62" t="s">
        <v>104</v>
      </c>
      <c r="S62" t="s">
        <v>46</v>
      </c>
      <c r="T62" t="s">
        <v>66</v>
      </c>
      <c r="U62" t="s">
        <v>86</v>
      </c>
      <c r="V62" t="s">
        <v>86</v>
      </c>
      <c r="W62" t="s">
        <v>46</v>
      </c>
      <c r="X62" t="s">
        <v>210</v>
      </c>
      <c r="Y62" t="s">
        <v>46</v>
      </c>
      <c r="Z62" t="s">
        <v>86</v>
      </c>
      <c r="AA62" t="s">
        <v>46</v>
      </c>
      <c r="AB62" t="s">
        <v>86</v>
      </c>
      <c r="AC62" t="s">
        <v>76</v>
      </c>
      <c r="AD62" t="s">
        <v>117</v>
      </c>
      <c r="AE62" t="s">
        <v>46</v>
      </c>
      <c r="AF62" t="s">
        <v>62</v>
      </c>
      <c r="AG62">
        <v>0</v>
      </c>
      <c r="AH62">
        <v>0</v>
      </c>
      <c r="AI62">
        <v>0</v>
      </c>
      <c r="AJ62">
        <v>0</v>
      </c>
      <c r="AK62">
        <v>3</v>
      </c>
      <c r="AL62">
        <v>0</v>
      </c>
      <c r="AM62">
        <v>0</v>
      </c>
      <c r="AN62">
        <v>3</v>
      </c>
      <c r="AQ62">
        <f t="shared" si="0"/>
        <v>56.5</v>
      </c>
    </row>
    <row r="63" spans="1:43" x14ac:dyDescent="0.35">
      <c r="A63" t="s">
        <v>246</v>
      </c>
      <c r="B63">
        <v>39</v>
      </c>
      <c r="C63" t="s">
        <v>57</v>
      </c>
      <c r="D63">
        <v>1</v>
      </c>
      <c r="E63">
        <v>4</v>
      </c>
      <c r="F63">
        <v>2</v>
      </c>
      <c r="G63">
        <v>12</v>
      </c>
      <c r="H63">
        <v>1.3</v>
      </c>
      <c r="I63" t="s">
        <v>241</v>
      </c>
      <c r="J63">
        <v>0</v>
      </c>
      <c r="K63">
        <v>0</v>
      </c>
      <c r="L63" t="s">
        <v>46</v>
      </c>
      <c r="M63">
        <v>0</v>
      </c>
      <c r="N63">
        <v>4</v>
      </c>
      <c r="O63">
        <v>0</v>
      </c>
      <c r="P63">
        <v>0</v>
      </c>
      <c r="Q63" t="s">
        <v>124</v>
      </c>
      <c r="R63" t="s">
        <v>111</v>
      </c>
      <c r="S63" t="s">
        <v>46</v>
      </c>
      <c r="T63" t="s">
        <v>96</v>
      </c>
      <c r="U63" t="s">
        <v>49</v>
      </c>
      <c r="V63" t="s">
        <v>49</v>
      </c>
      <c r="W63" t="s">
        <v>46</v>
      </c>
      <c r="X63" t="s">
        <v>170</v>
      </c>
      <c r="Y63" t="s">
        <v>49</v>
      </c>
      <c r="Z63" t="s">
        <v>60</v>
      </c>
      <c r="AA63" t="s">
        <v>46</v>
      </c>
      <c r="AB63" t="s">
        <v>74</v>
      </c>
      <c r="AC63" t="s">
        <v>54</v>
      </c>
      <c r="AD63" t="s">
        <v>67</v>
      </c>
      <c r="AE63" t="s">
        <v>46</v>
      </c>
      <c r="AF63" t="s">
        <v>113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1</v>
      </c>
      <c r="AQ63">
        <f t="shared" si="0"/>
        <v>35.5</v>
      </c>
    </row>
    <row r="64" spans="1:43" x14ac:dyDescent="0.35">
      <c r="A64" t="s">
        <v>247</v>
      </c>
      <c r="B64">
        <v>40</v>
      </c>
      <c r="C64" t="s">
        <v>40</v>
      </c>
      <c r="D64">
        <v>1</v>
      </c>
      <c r="E64">
        <v>1</v>
      </c>
      <c r="F64">
        <v>1</v>
      </c>
      <c r="G64">
        <v>27</v>
      </c>
      <c r="H64">
        <v>4.3</v>
      </c>
      <c r="I64" t="s">
        <v>210</v>
      </c>
      <c r="J64">
        <v>0</v>
      </c>
      <c r="K64">
        <v>18</v>
      </c>
      <c r="L64" t="s">
        <v>92</v>
      </c>
      <c r="M64">
        <v>7</v>
      </c>
      <c r="N64">
        <v>0</v>
      </c>
      <c r="O64">
        <v>6</v>
      </c>
      <c r="P64">
        <v>0</v>
      </c>
      <c r="Q64" t="s">
        <v>130</v>
      </c>
      <c r="R64" t="s">
        <v>98</v>
      </c>
      <c r="S64" t="s">
        <v>46</v>
      </c>
      <c r="T64" t="s">
        <v>172</v>
      </c>
      <c r="U64" t="s">
        <v>144</v>
      </c>
      <c r="V64" t="s">
        <v>111</v>
      </c>
      <c r="W64" t="s">
        <v>46</v>
      </c>
      <c r="X64" t="s">
        <v>85</v>
      </c>
      <c r="Y64" t="s">
        <v>91</v>
      </c>
      <c r="Z64" t="s">
        <v>111</v>
      </c>
      <c r="AA64" t="s">
        <v>46</v>
      </c>
      <c r="AB64" t="s">
        <v>90</v>
      </c>
      <c r="AC64" t="s">
        <v>99</v>
      </c>
      <c r="AD64" t="s">
        <v>98</v>
      </c>
      <c r="AE64" t="s">
        <v>46</v>
      </c>
      <c r="AF64" t="s">
        <v>133</v>
      </c>
      <c r="AG64">
        <v>1</v>
      </c>
      <c r="AH64">
        <v>1</v>
      </c>
      <c r="AI64">
        <v>0</v>
      </c>
      <c r="AJ64">
        <v>2</v>
      </c>
      <c r="AK64">
        <v>2</v>
      </c>
      <c r="AL64">
        <v>0</v>
      </c>
      <c r="AM64">
        <v>0</v>
      </c>
      <c r="AN64">
        <v>2</v>
      </c>
      <c r="AQ64">
        <f t="shared" si="0"/>
        <v>1</v>
      </c>
    </row>
    <row r="65" spans="1:43" x14ac:dyDescent="0.35">
      <c r="A65" t="s">
        <v>248</v>
      </c>
      <c r="B65">
        <v>40</v>
      </c>
      <c r="C65" t="s">
        <v>57</v>
      </c>
      <c r="D65">
        <v>2</v>
      </c>
      <c r="E65">
        <v>1</v>
      </c>
      <c r="F65">
        <v>2</v>
      </c>
      <c r="G65">
        <v>17</v>
      </c>
      <c r="H65">
        <v>3</v>
      </c>
      <c r="I65" t="s">
        <v>190</v>
      </c>
      <c r="J65">
        <v>0</v>
      </c>
      <c r="K65">
        <v>3</v>
      </c>
      <c r="L65" t="s">
        <v>84</v>
      </c>
      <c r="M65">
        <v>1</v>
      </c>
      <c r="N65">
        <v>7</v>
      </c>
      <c r="O65">
        <v>0</v>
      </c>
      <c r="P65">
        <v>1</v>
      </c>
      <c r="Q65" t="s">
        <v>111</v>
      </c>
      <c r="R65" t="s">
        <v>92</v>
      </c>
      <c r="S65" t="s">
        <v>46</v>
      </c>
      <c r="T65" t="s">
        <v>123</v>
      </c>
      <c r="U65" t="s">
        <v>58</v>
      </c>
      <c r="V65" t="s">
        <v>90</v>
      </c>
      <c r="W65" t="s">
        <v>46</v>
      </c>
      <c r="X65" t="s">
        <v>72</v>
      </c>
      <c r="Y65" t="s">
        <v>84</v>
      </c>
      <c r="Z65" t="s">
        <v>60</v>
      </c>
      <c r="AA65" t="s">
        <v>46</v>
      </c>
      <c r="AB65" t="s">
        <v>116</v>
      </c>
      <c r="AC65" t="s">
        <v>85</v>
      </c>
      <c r="AD65" t="s">
        <v>111</v>
      </c>
      <c r="AE65" t="s">
        <v>46</v>
      </c>
      <c r="AF65" t="s">
        <v>136</v>
      </c>
      <c r="AG65">
        <v>2</v>
      </c>
      <c r="AH65">
        <v>0</v>
      </c>
      <c r="AI65">
        <v>0</v>
      </c>
      <c r="AJ65">
        <v>2</v>
      </c>
      <c r="AK65">
        <v>1</v>
      </c>
      <c r="AL65">
        <v>1</v>
      </c>
      <c r="AM65">
        <v>0</v>
      </c>
      <c r="AN65">
        <v>2</v>
      </c>
      <c r="AQ65">
        <f t="shared" si="0"/>
        <v>6</v>
      </c>
    </row>
    <row r="66" spans="1:43" x14ac:dyDescent="0.35">
      <c r="A66" t="s">
        <v>249</v>
      </c>
      <c r="B66">
        <v>41</v>
      </c>
      <c r="C66" t="s">
        <v>40</v>
      </c>
      <c r="D66">
        <v>2</v>
      </c>
      <c r="E66">
        <v>2</v>
      </c>
      <c r="F66">
        <v>2</v>
      </c>
      <c r="G66">
        <v>10</v>
      </c>
      <c r="H66">
        <v>1.8</v>
      </c>
      <c r="I66" t="s">
        <v>74</v>
      </c>
      <c r="J66">
        <v>0</v>
      </c>
      <c r="K66">
        <v>0</v>
      </c>
      <c r="L66" t="s">
        <v>46</v>
      </c>
      <c r="M66">
        <v>0</v>
      </c>
      <c r="N66">
        <v>4</v>
      </c>
      <c r="O66">
        <v>0</v>
      </c>
      <c r="P66">
        <v>2</v>
      </c>
      <c r="Q66" t="s">
        <v>46</v>
      </c>
      <c r="R66" t="s">
        <v>114</v>
      </c>
      <c r="S66" t="s">
        <v>46</v>
      </c>
      <c r="T66" t="s">
        <v>114</v>
      </c>
      <c r="U66" t="s">
        <v>46</v>
      </c>
      <c r="V66" t="s">
        <v>76</v>
      </c>
      <c r="W66" t="s">
        <v>46</v>
      </c>
      <c r="X66" t="s">
        <v>76</v>
      </c>
      <c r="Y66" t="s">
        <v>46</v>
      </c>
      <c r="Z66" t="s">
        <v>41</v>
      </c>
      <c r="AA66" t="s">
        <v>46</v>
      </c>
      <c r="AB66" t="s">
        <v>41</v>
      </c>
      <c r="AC66" t="s">
        <v>46</v>
      </c>
      <c r="AD66" t="s">
        <v>62</v>
      </c>
      <c r="AE66" t="s">
        <v>46</v>
      </c>
      <c r="AF66" t="s">
        <v>62</v>
      </c>
      <c r="AG66">
        <v>0</v>
      </c>
      <c r="AH66">
        <v>2</v>
      </c>
      <c r="AI66">
        <v>0</v>
      </c>
      <c r="AJ66">
        <v>2</v>
      </c>
      <c r="AK66">
        <v>0</v>
      </c>
      <c r="AL66">
        <v>2</v>
      </c>
      <c r="AM66">
        <v>0</v>
      </c>
      <c r="AN66">
        <v>2</v>
      </c>
      <c r="AQ66">
        <f t="shared" si="0"/>
        <v>14</v>
      </c>
    </row>
    <row r="67" spans="1:43" x14ac:dyDescent="0.35">
      <c r="A67" t="s">
        <v>250</v>
      </c>
      <c r="B67">
        <v>41</v>
      </c>
      <c r="C67" t="s">
        <v>57</v>
      </c>
      <c r="D67">
        <v>1</v>
      </c>
      <c r="E67">
        <v>2</v>
      </c>
      <c r="F67">
        <v>1</v>
      </c>
      <c r="G67">
        <v>36</v>
      </c>
      <c r="H67">
        <v>3.8</v>
      </c>
      <c r="I67" t="s">
        <v>207</v>
      </c>
      <c r="J67">
        <v>0</v>
      </c>
      <c r="K67">
        <v>69</v>
      </c>
      <c r="L67" t="s">
        <v>251</v>
      </c>
      <c r="M67">
        <v>10</v>
      </c>
      <c r="N67">
        <v>0</v>
      </c>
      <c r="O67">
        <v>8</v>
      </c>
      <c r="P67">
        <v>0</v>
      </c>
      <c r="Q67" t="s">
        <v>44</v>
      </c>
      <c r="R67" t="s">
        <v>61</v>
      </c>
      <c r="S67" t="s">
        <v>112</v>
      </c>
      <c r="T67" t="s">
        <v>148</v>
      </c>
      <c r="U67" t="s">
        <v>41</v>
      </c>
      <c r="V67" t="s">
        <v>111</v>
      </c>
      <c r="W67" t="s">
        <v>124</v>
      </c>
      <c r="X67" t="s">
        <v>173</v>
      </c>
      <c r="Y67" t="s">
        <v>58</v>
      </c>
      <c r="Z67" t="s">
        <v>111</v>
      </c>
      <c r="AA67" t="s">
        <v>124</v>
      </c>
      <c r="AB67" t="s">
        <v>51</v>
      </c>
      <c r="AC67" t="s">
        <v>99</v>
      </c>
      <c r="AD67" t="s">
        <v>77</v>
      </c>
      <c r="AE67" t="s">
        <v>84</v>
      </c>
      <c r="AF67" t="s">
        <v>118</v>
      </c>
      <c r="AG67">
        <v>0</v>
      </c>
      <c r="AH67">
        <v>1</v>
      </c>
      <c r="AI67">
        <v>0</v>
      </c>
      <c r="AJ67">
        <v>1</v>
      </c>
      <c r="AK67">
        <v>1</v>
      </c>
      <c r="AL67">
        <v>0</v>
      </c>
      <c r="AM67">
        <v>0</v>
      </c>
      <c r="AN67">
        <v>1</v>
      </c>
      <c r="AQ67">
        <f t="shared" ref="AQ67:AQ69" si="1">_xlfn.RANK.AVG(H67,$H$2:$H$69)</f>
        <v>2.5</v>
      </c>
    </row>
    <row r="68" spans="1:43" x14ac:dyDescent="0.35">
      <c r="A68" t="s">
        <v>252</v>
      </c>
      <c r="B68">
        <v>42</v>
      </c>
      <c r="C68" t="s">
        <v>40</v>
      </c>
      <c r="D68">
        <v>1</v>
      </c>
      <c r="E68">
        <v>3</v>
      </c>
      <c r="F68">
        <v>2</v>
      </c>
      <c r="G68">
        <v>35</v>
      </c>
      <c r="H68">
        <v>1.9</v>
      </c>
      <c r="I68" t="s">
        <v>253</v>
      </c>
      <c r="J68">
        <v>0</v>
      </c>
      <c r="K68">
        <v>3</v>
      </c>
      <c r="L68" t="s">
        <v>41</v>
      </c>
      <c r="M68">
        <v>1</v>
      </c>
      <c r="N68">
        <v>7</v>
      </c>
      <c r="O68">
        <v>0</v>
      </c>
      <c r="P68">
        <v>0</v>
      </c>
      <c r="Q68" t="s">
        <v>163</v>
      </c>
      <c r="R68" t="s">
        <v>85</v>
      </c>
      <c r="S68" t="s">
        <v>46</v>
      </c>
      <c r="T68" t="s">
        <v>75</v>
      </c>
      <c r="U68" t="s">
        <v>212</v>
      </c>
      <c r="V68" t="s">
        <v>78</v>
      </c>
      <c r="W68" t="s">
        <v>46</v>
      </c>
      <c r="X68" t="s">
        <v>235</v>
      </c>
      <c r="Y68" t="s">
        <v>78</v>
      </c>
      <c r="Z68" t="s">
        <v>78</v>
      </c>
      <c r="AA68" t="s">
        <v>46</v>
      </c>
      <c r="AB68" t="s">
        <v>128</v>
      </c>
      <c r="AC68" t="s">
        <v>135</v>
      </c>
      <c r="AD68" t="s">
        <v>105</v>
      </c>
      <c r="AE68" t="s">
        <v>46</v>
      </c>
      <c r="AF68" t="s">
        <v>137</v>
      </c>
      <c r="AG68">
        <v>2</v>
      </c>
      <c r="AH68">
        <v>0</v>
      </c>
      <c r="AI68">
        <v>0</v>
      </c>
      <c r="AJ68">
        <v>2</v>
      </c>
      <c r="AK68">
        <v>4</v>
      </c>
      <c r="AL68">
        <v>0</v>
      </c>
      <c r="AM68">
        <v>0</v>
      </c>
      <c r="AN68">
        <v>4</v>
      </c>
      <c r="AQ68">
        <f t="shared" si="1"/>
        <v>11</v>
      </c>
    </row>
    <row r="69" spans="1:43" x14ac:dyDescent="0.35">
      <c r="A69" t="s">
        <v>254</v>
      </c>
      <c r="B69">
        <v>42</v>
      </c>
      <c r="C69" t="s">
        <v>57</v>
      </c>
      <c r="D69">
        <v>2</v>
      </c>
      <c r="E69">
        <v>3</v>
      </c>
      <c r="F69">
        <v>1</v>
      </c>
      <c r="G69">
        <v>15</v>
      </c>
      <c r="H69">
        <v>0.9</v>
      </c>
      <c r="I69" t="s">
        <v>255</v>
      </c>
      <c r="J69">
        <v>0</v>
      </c>
      <c r="K69">
        <v>7</v>
      </c>
      <c r="L69" t="s">
        <v>161</v>
      </c>
      <c r="M69">
        <v>3</v>
      </c>
      <c r="N69">
        <v>0</v>
      </c>
      <c r="O69">
        <v>0</v>
      </c>
      <c r="P69">
        <v>0</v>
      </c>
      <c r="Q69" t="s">
        <v>111</v>
      </c>
      <c r="R69" t="s">
        <v>104</v>
      </c>
      <c r="S69" t="s">
        <v>46</v>
      </c>
      <c r="T69" t="s">
        <v>96</v>
      </c>
      <c r="U69" t="s">
        <v>161</v>
      </c>
      <c r="V69" t="s">
        <v>116</v>
      </c>
      <c r="W69" t="s">
        <v>46</v>
      </c>
      <c r="X69" t="s">
        <v>81</v>
      </c>
      <c r="Y69" t="s">
        <v>182</v>
      </c>
      <c r="Z69" t="s">
        <v>116</v>
      </c>
      <c r="AA69" t="s">
        <v>46</v>
      </c>
      <c r="AB69" t="s">
        <v>125</v>
      </c>
      <c r="AC69" t="s">
        <v>111</v>
      </c>
      <c r="AD69" t="s">
        <v>117</v>
      </c>
      <c r="AE69" t="s">
        <v>46</v>
      </c>
      <c r="AF69" t="s">
        <v>113</v>
      </c>
      <c r="AG69">
        <v>0</v>
      </c>
      <c r="AH69">
        <v>0</v>
      </c>
      <c r="AI69">
        <v>0</v>
      </c>
      <c r="AJ69">
        <v>0</v>
      </c>
      <c r="AK69">
        <v>2</v>
      </c>
      <c r="AL69">
        <v>0</v>
      </c>
      <c r="AM69">
        <v>0</v>
      </c>
      <c r="AN69">
        <v>2</v>
      </c>
      <c r="AQ69">
        <f t="shared" si="1"/>
        <v>56.5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Hanenberg</dc:creator>
  <cp:lastModifiedBy>Stefan Hanenberg</cp:lastModifiedBy>
  <dcterms:created xsi:type="dcterms:W3CDTF">2024-10-21T11:37:47Z</dcterms:created>
  <dcterms:modified xsi:type="dcterms:W3CDTF">2025-10-08T14:11:19Z</dcterms:modified>
</cp:coreProperties>
</file>