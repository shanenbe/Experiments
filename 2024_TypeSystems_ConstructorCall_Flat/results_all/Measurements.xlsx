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tefan\sciebo\Papers\Experiments\2024_TypeSystems_ConstructorCall_Flat\Results\"/>
    </mc:Choice>
  </mc:AlternateContent>
  <xr:revisionPtr revIDLastSave="0" documentId="13_ncr:1_{0C161195-2D3D-4D14-A70A-F80FA3BDA53B}" xr6:coauthVersionLast="47" xr6:coauthVersionMax="47" xr10:uidLastSave="{00000000-0000-0000-0000-000000000000}"/>
  <bookViews>
    <workbookView xWindow="38290" yWindow="-110" windowWidth="25820" windowHeight="13900" xr2:uid="{00000000-000D-0000-FFFF-FFFF00000000}"/>
  </bookViews>
  <sheets>
    <sheet name="Measurements" sheetId="1" r:id="rId1"/>
    <sheet name="Ordered" sheetId="5" r:id="rId2"/>
    <sheet name="Outlier_Ordered_Type_Param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8" i="1" l="1"/>
  <c r="V267" i="1"/>
  <c r="X266" i="1"/>
  <c r="W266" i="1"/>
  <c r="V266" i="1"/>
  <c r="U254" i="1"/>
  <c r="U242" i="1"/>
  <c r="U230" i="1"/>
  <c r="U219" i="1"/>
  <c r="U206" i="1"/>
  <c r="U194" i="1"/>
  <c r="U182" i="1"/>
  <c r="U170" i="1"/>
  <c r="U158" i="1"/>
  <c r="U146" i="1"/>
  <c r="U134" i="1"/>
  <c r="U122" i="1"/>
  <c r="U110" i="1"/>
  <c r="U98" i="1"/>
  <c r="U86" i="1"/>
  <c r="U74" i="1"/>
  <c r="U62" i="1"/>
  <c r="U50" i="1"/>
  <c r="U38" i="1"/>
  <c r="U26" i="1"/>
  <c r="U14" i="1"/>
  <c r="U2" i="1"/>
  <c r="T254" i="1"/>
  <c r="T242" i="1"/>
  <c r="T230" i="1"/>
  <c r="T219" i="1"/>
  <c r="T206" i="1"/>
  <c r="T194" i="1"/>
  <c r="T182" i="1"/>
  <c r="T170" i="1"/>
  <c r="T158" i="1"/>
  <c r="T146" i="1"/>
  <c r="T134" i="1"/>
  <c r="T122" i="1"/>
  <c r="T110" i="1"/>
  <c r="T98" i="1"/>
  <c r="T86" i="1"/>
  <c r="T74" i="1"/>
  <c r="T62" i="1"/>
  <c r="T50" i="1"/>
  <c r="T38" i="1"/>
  <c r="T26" i="1"/>
  <c r="T14" i="1"/>
  <c r="T2" i="1"/>
  <c r="U222" i="2"/>
  <c r="T222" i="2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T245" i="2" s="1"/>
  <c r="T246" i="2" s="1"/>
  <c r="T247" i="2" s="1"/>
  <c r="T248" i="2" s="1"/>
  <c r="T249" i="2" s="1"/>
  <c r="T250" i="2" s="1"/>
  <c r="T251" i="2" s="1"/>
  <c r="T252" i="2" s="1"/>
  <c r="T253" i="2" s="1"/>
  <c r="T254" i="2" s="1"/>
  <c r="T255" i="2" s="1"/>
  <c r="T256" i="2" s="1"/>
  <c r="T257" i="2" s="1"/>
  <c r="T258" i="2" s="1"/>
  <c r="T259" i="2" s="1"/>
  <c r="T260" i="2" s="1"/>
  <c r="T261" i="2" s="1"/>
  <c r="T262" i="2" s="1"/>
  <c r="T263" i="2" s="1"/>
  <c r="T264" i="2" s="1"/>
  <c r="T265" i="2" s="1"/>
  <c r="U178" i="2"/>
  <c r="T178" i="2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U134" i="2"/>
  <c r="T134" i="2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U90" i="2"/>
  <c r="T90" i="2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U46" i="2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T46" i="2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U2" i="2"/>
  <c r="U3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T2" i="2"/>
  <c r="T3" i="2" s="1"/>
  <c r="T4" i="2" s="1"/>
  <c r="T5" i="2" s="1"/>
  <c r="T6" i="2" s="1"/>
  <c r="T7" i="2" s="1"/>
  <c r="T8" i="2" s="1"/>
  <c r="U223" i="2" l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V222" i="2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U179" i="2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V178" i="2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U135" i="2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V134" i="2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U91" i="2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V90" i="2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46" i="2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2" i="2"/>
  <c r="T9" i="2"/>
  <c r="W134" i="2" l="1"/>
  <c r="W178" i="2"/>
  <c r="W46" i="2"/>
  <c r="W47" i="2" s="1"/>
  <c r="W222" i="2"/>
  <c r="X222" i="2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W179" i="2"/>
  <c r="X178" i="2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W135" i="2"/>
  <c r="X134" i="2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W90" i="2"/>
  <c r="X90" i="2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46" i="2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W2" i="2"/>
  <c r="X2" i="2"/>
  <c r="X3" i="2" s="1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T10" i="2"/>
  <c r="W223" i="2" l="1"/>
  <c r="S222" i="2"/>
  <c r="S179" i="2"/>
  <c r="W180" i="2"/>
  <c r="S178" i="2"/>
  <c r="S135" i="2"/>
  <c r="W136" i="2"/>
  <c r="S134" i="2"/>
  <c r="S90" i="2"/>
  <c r="W91" i="2"/>
  <c r="S47" i="2"/>
  <c r="W48" i="2"/>
  <c r="S46" i="2"/>
  <c r="S2" i="2"/>
  <c r="W3" i="2"/>
  <c r="S3" i="2" s="1"/>
  <c r="W4" i="2"/>
  <c r="T11" i="2"/>
  <c r="S223" i="2" l="1"/>
  <c r="W224" i="2"/>
  <c r="W181" i="2"/>
  <c r="S180" i="2"/>
  <c r="W137" i="2"/>
  <c r="S136" i="2"/>
  <c r="S91" i="2"/>
  <c r="W92" i="2"/>
  <c r="W49" i="2"/>
  <c r="S48" i="2"/>
  <c r="W5" i="2"/>
  <c r="S4" i="2"/>
  <c r="T12" i="2"/>
  <c r="W225" i="2" l="1"/>
  <c r="S224" i="2"/>
  <c r="S181" i="2"/>
  <c r="W182" i="2"/>
  <c r="S137" i="2"/>
  <c r="W138" i="2"/>
  <c r="W93" i="2"/>
  <c r="S92" i="2"/>
  <c r="W50" i="2"/>
  <c r="S49" i="2"/>
  <c r="W6" i="2"/>
  <c r="S5" i="2"/>
  <c r="T13" i="2"/>
  <c r="S225" i="2" l="1"/>
  <c r="W226" i="2"/>
  <c r="W183" i="2"/>
  <c r="S182" i="2"/>
  <c r="W139" i="2"/>
  <c r="S138" i="2"/>
  <c r="S93" i="2"/>
  <c r="W94" i="2"/>
  <c r="W51" i="2"/>
  <c r="S50" i="2"/>
  <c r="W7" i="2"/>
  <c r="S6" i="2"/>
  <c r="T14" i="2"/>
  <c r="W227" i="2" l="1"/>
  <c r="S226" i="2"/>
  <c r="S183" i="2"/>
  <c r="W184" i="2"/>
  <c r="W140" i="2"/>
  <c r="S139" i="2"/>
  <c r="W95" i="2"/>
  <c r="S94" i="2"/>
  <c r="S51" i="2"/>
  <c r="W52" i="2"/>
  <c r="W8" i="2"/>
  <c r="S7" i="2"/>
  <c r="T15" i="2"/>
  <c r="W228" i="2" l="1"/>
  <c r="S227" i="2"/>
  <c r="S184" i="2"/>
  <c r="W185" i="2"/>
  <c r="S140" i="2"/>
  <c r="W141" i="2"/>
  <c r="S95" i="2"/>
  <c r="W96" i="2"/>
  <c r="S52" i="2"/>
  <c r="W53" i="2"/>
  <c r="W9" i="2"/>
  <c r="S8" i="2"/>
  <c r="T16" i="2"/>
  <c r="S228" i="2" l="1"/>
  <c r="W229" i="2"/>
  <c r="W186" i="2"/>
  <c r="S185" i="2"/>
  <c r="W142" i="2"/>
  <c r="S141" i="2"/>
  <c r="S96" i="2"/>
  <c r="W97" i="2"/>
  <c r="W54" i="2"/>
  <c r="S53" i="2"/>
  <c r="W10" i="2"/>
  <c r="S9" i="2"/>
  <c r="T17" i="2"/>
  <c r="W230" i="2" l="1"/>
  <c r="S229" i="2"/>
  <c r="W187" i="2"/>
  <c r="S186" i="2"/>
  <c r="S142" i="2"/>
  <c r="W143" i="2"/>
  <c r="W98" i="2"/>
  <c r="S97" i="2"/>
  <c r="S54" i="2"/>
  <c r="W55" i="2"/>
  <c r="W11" i="2"/>
  <c r="S10" i="2"/>
  <c r="T18" i="2"/>
  <c r="S230" i="2" l="1"/>
  <c r="W231" i="2"/>
  <c r="S187" i="2"/>
  <c r="W188" i="2"/>
  <c r="S143" i="2"/>
  <c r="W144" i="2"/>
  <c r="S98" i="2"/>
  <c r="W99" i="2"/>
  <c r="S55" i="2"/>
  <c r="W56" i="2"/>
  <c r="W12" i="2"/>
  <c r="S11" i="2"/>
  <c r="T19" i="2"/>
  <c r="S231" i="2" l="1"/>
  <c r="W232" i="2"/>
  <c r="W189" i="2"/>
  <c r="S188" i="2"/>
  <c r="W145" i="2"/>
  <c r="S144" i="2"/>
  <c r="S99" i="2"/>
  <c r="W100" i="2"/>
  <c r="W57" i="2"/>
  <c r="S56" i="2"/>
  <c r="W13" i="2"/>
  <c r="S12" i="2"/>
  <c r="T20" i="2"/>
  <c r="W233" i="2" l="1"/>
  <c r="S232" i="2"/>
  <c r="S189" i="2"/>
  <c r="W190" i="2"/>
  <c r="S145" i="2"/>
  <c r="W146" i="2"/>
  <c r="W101" i="2"/>
  <c r="S100" i="2"/>
  <c r="S57" i="2"/>
  <c r="W58" i="2"/>
  <c r="W14" i="2"/>
  <c r="S13" i="2"/>
  <c r="T21" i="2"/>
  <c r="S233" i="2" l="1"/>
  <c r="W234" i="2"/>
  <c r="W191" i="2"/>
  <c r="S190" i="2"/>
  <c r="W147" i="2"/>
  <c r="S146" i="2"/>
  <c r="S101" i="2"/>
  <c r="W102" i="2"/>
  <c r="W59" i="2"/>
  <c r="S58" i="2"/>
  <c r="W15" i="2"/>
  <c r="S14" i="2"/>
  <c r="T22" i="2"/>
  <c r="W235" i="2" l="1"/>
  <c r="S234" i="2"/>
  <c r="S191" i="2"/>
  <c r="W192" i="2"/>
  <c r="W148" i="2"/>
  <c r="S147" i="2"/>
  <c r="W103" i="2"/>
  <c r="S102" i="2"/>
  <c r="S59" i="2"/>
  <c r="W60" i="2"/>
  <c r="W16" i="2"/>
  <c r="S15" i="2"/>
  <c r="T23" i="2"/>
  <c r="W236" i="2" l="1"/>
  <c r="S235" i="2"/>
  <c r="S192" i="2"/>
  <c r="W193" i="2"/>
  <c r="S148" i="2"/>
  <c r="W149" i="2"/>
  <c r="S103" i="2"/>
  <c r="W104" i="2"/>
  <c r="S60" i="2"/>
  <c r="W61" i="2"/>
  <c r="W17" i="2"/>
  <c r="S16" i="2"/>
  <c r="T24" i="2"/>
  <c r="S236" i="2" l="1"/>
  <c r="W237" i="2"/>
  <c r="W194" i="2"/>
  <c r="S193" i="2"/>
  <c r="W150" i="2"/>
  <c r="S149" i="2"/>
  <c r="S104" i="2"/>
  <c r="W105" i="2"/>
  <c r="W62" i="2"/>
  <c r="S61" i="2"/>
  <c r="W18" i="2"/>
  <c r="S17" i="2"/>
  <c r="T25" i="2"/>
  <c r="W238" i="2" l="1"/>
  <c r="S237" i="2"/>
  <c r="S194" i="2"/>
  <c r="W195" i="2"/>
  <c r="S150" i="2"/>
  <c r="W151" i="2"/>
  <c r="W106" i="2"/>
  <c r="S105" i="2"/>
  <c r="S62" i="2"/>
  <c r="W63" i="2"/>
  <c r="W19" i="2"/>
  <c r="S18" i="2"/>
  <c r="T26" i="2"/>
  <c r="S238" i="2" l="1"/>
  <c r="W239" i="2"/>
  <c r="S195" i="2"/>
  <c r="W196" i="2"/>
  <c r="S151" i="2"/>
  <c r="W152" i="2"/>
  <c r="S106" i="2"/>
  <c r="W107" i="2"/>
  <c r="S63" i="2"/>
  <c r="W64" i="2"/>
  <c r="W20" i="2"/>
  <c r="S19" i="2"/>
  <c r="T27" i="2"/>
  <c r="S239" i="2" l="1"/>
  <c r="W240" i="2"/>
  <c r="W197" i="2"/>
  <c r="S196" i="2"/>
  <c r="W153" i="2"/>
  <c r="S152" i="2"/>
  <c r="S107" i="2"/>
  <c r="W108" i="2"/>
  <c r="W65" i="2"/>
  <c r="S64" i="2"/>
  <c r="W21" i="2"/>
  <c r="S20" i="2"/>
  <c r="T28" i="2"/>
  <c r="W241" i="2" l="1"/>
  <c r="S240" i="2"/>
  <c r="S197" i="2"/>
  <c r="W198" i="2"/>
  <c r="S153" i="2"/>
  <c r="W154" i="2"/>
  <c r="W109" i="2"/>
  <c r="S108" i="2"/>
  <c r="W66" i="2"/>
  <c r="S65" i="2"/>
  <c r="W22" i="2"/>
  <c r="S21" i="2"/>
  <c r="T29" i="2"/>
  <c r="S241" i="2" l="1"/>
  <c r="W242" i="2"/>
  <c r="W199" i="2"/>
  <c r="S198" i="2"/>
  <c r="W155" i="2"/>
  <c r="S154" i="2"/>
  <c r="S109" i="2"/>
  <c r="W110" i="2"/>
  <c r="W67" i="2"/>
  <c r="S66" i="2"/>
  <c r="W23" i="2"/>
  <c r="S22" i="2"/>
  <c r="T30" i="2"/>
  <c r="S242" i="2" l="1"/>
  <c r="W243" i="2"/>
  <c r="S199" i="2"/>
  <c r="W200" i="2"/>
  <c r="S155" i="2"/>
  <c r="W156" i="2"/>
  <c r="W111" i="2"/>
  <c r="S110" i="2"/>
  <c r="S67" i="2"/>
  <c r="W68" i="2"/>
  <c r="W24" i="2"/>
  <c r="S23" i="2"/>
  <c r="T31" i="2"/>
  <c r="W244" i="2" l="1"/>
  <c r="S243" i="2"/>
  <c r="S200" i="2"/>
  <c r="W201" i="2"/>
  <c r="S156" i="2"/>
  <c r="W157" i="2"/>
  <c r="S111" i="2"/>
  <c r="W112" i="2"/>
  <c r="S68" i="2"/>
  <c r="W69" i="2"/>
  <c r="W25" i="2"/>
  <c r="S24" i="2"/>
  <c r="T32" i="2"/>
  <c r="S244" i="2" l="1"/>
  <c r="W245" i="2"/>
  <c r="W202" i="2"/>
  <c r="S201" i="2"/>
  <c r="W158" i="2"/>
  <c r="S157" i="2"/>
  <c r="S112" i="2"/>
  <c r="W113" i="2"/>
  <c r="W70" i="2"/>
  <c r="S69" i="2"/>
  <c r="W26" i="2"/>
  <c r="S25" i="2"/>
  <c r="T33" i="2"/>
  <c r="W246" i="2" l="1"/>
  <c r="S245" i="2"/>
  <c r="S202" i="2"/>
  <c r="W203" i="2"/>
  <c r="W159" i="2"/>
  <c r="S158" i="2"/>
  <c r="W114" i="2"/>
  <c r="S113" i="2"/>
  <c r="S70" i="2"/>
  <c r="W71" i="2"/>
  <c r="W27" i="2"/>
  <c r="S26" i="2"/>
  <c r="T34" i="2"/>
  <c r="W247" i="2" l="1"/>
  <c r="S246" i="2"/>
  <c r="S203" i="2"/>
  <c r="W204" i="2"/>
  <c r="S159" i="2"/>
  <c r="W160" i="2"/>
  <c r="S114" i="2"/>
  <c r="W115" i="2"/>
  <c r="S71" i="2"/>
  <c r="W72" i="2"/>
  <c r="W28" i="2"/>
  <c r="S27" i="2"/>
  <c r="T35" i="2"/>
  <c r="S247" i="2" l="1"/>
  <c r="W248" i="2"/>
  <c r="W205" i="2"/>
  <c r="S204" i="2"/>
  <c r="W161" i="2"/>
  <c r="S160" i="2"/>
  <c r="S115" i="2"/>
  <c r="W116" i="2"/>
  <c r="S72" i="2"/>
  <c r="W73" i="2"/>
  <c r="W29" i="2"/>
  <c r="S28" i="2"/>
  <c r="T36" i="2"/>
  <c r="W249" i="2" l="1"/>
  <c r="S248" i="2"/>
  <c r="S205" i="2"/>
  <c r="W206" i="2"/>
  <c r="S161" i="2"/>
  <c r="W162" i="2"/>
  <c r="W117" i="2"/>
  <c r="S116" i="2"/>
  <c r="S73" i="2"/>
  <c r="W74" i="2"/>
  <c r="W30" i="2"/>
  <c r="S29" i="2"/>
  <c r="T37" i="2"/>
  <c r="S249" i="2" l="1"/>
  <c r="W250" i="2"/>
  <c r="W207" i="2"/>
  <c r="S206" i="2"/>
  <c r="W163" i="2"/>
  <c r="S162" i="2"/>
  <c r="S117" i="2"/>
  <c r="W118" i="2"/>
  <c r="W75" i="2"/>
  <c r="S74" i="2"/>
  <c r="W31" i="2"/>
  <c r="S30" i="2"/>
  <c r="T38" i="2"/>
  <c r="W251" i="2" l="1"/>
  <c r="S250" i="2"/>
  <c r="S207" i="2"/>
  <c r="W208" i="2"/>
  <c r="S163" i="2"/>
  <c r="W164" i="2"/>
  <c r="W119" i="2"/>
  <c r="S118" i="2"/>
  <c r="S75" i="2"/>
  <c r="W76" i="2"/>
  <c r="W32" i="2"/>
  <c r="S31" i="2"/>
  <c r="T39" i="2"/>
  <c r="S251" i="2" l="1"/>
  <c r="W252" i="2"/>
  <c r="S208" i="2"/>
  <c r="W209" i="2"/>
  <c r="S164" i="2"/>
  <c r="W165" i="2"/>
  <c r="S119" i="2"/>
  <c r="W120" i="2"/>
  <c r="S76" i="2"/>
  <c r="W77" i="2"/>
  <c r="W33" i="2"/>
  <c r="S32" i="2"/>
  <c r="T40" i="2"/>
  <c r="S252" i="2" l="1"/>
  <c r="W253" i="2"/>
  <c r="W210" i="2"/>
  <c r="S209" i="2"/>
  <c r="W166" i="2"/>
  <c r="S165" i="2"/>
  <c r="S120" i="2"/>
  <c r="W121" i="2"/>
  <c r="W78" i="2"/>
  <c r="S77" i="2"/>
  <c r="W34" i="2"/>
  <c r="S33" i="2"/>
  <c r="T41" i="2"/>
  <c r="W254" i="2" l="1"/>
  <c r="S253" i="2"/>
  <c r="S210" i="2"/>
  <c r="W211" i="2"/>
  <c r="W167" i="2"/>
  <c r="S166" i="2"/>
  <c r="W122" i="2"/>
  <c r="S121" i="2"/>
  <c r="S78" i="2"/>
  <c r="W79" i="2"/>
  <c r="W35" i="2"/>
  <c r="S34" i="2"/>
  <c r="T42" i="2"/>
  <c r="S254" i="2" l="1"/>
  <c r="W255" i="2"/>
  <c r="S211" i="2"/>
  <c r="W212" i="2"/>
  <c r="S167" i="2"/>
  <c r="W168" i="2"/>
  <c r="S122" i="2"/>
  <c r="W123" i="2"/>
  <c r="S79" i="2"/>
  <c r="W80" i="2"/>
  <c r="W36" i="2"/>
  <c r="S35" i="2"/>
  <c r="T43" i="2"/>
  <c r="T44" i="2" s="1"/>
  <c r="T45" i="2" s="1"/>
  <c r="S255" i="2" l="1"/>
  <c r="W256" i="2"/>
  <c r="W213" i="2"/>
  <c r="S212" i="2"/>
  <c r="W169" i="2"/>
  <c r="S168" i="2"/>
  <c r="S123" i="2"/>
  <c r="W124" i="2"/>
  <c r="S80" i="2"/>
  <c r="W81" i="2"/>
  <c r="W37" i="2"/>
  <c r="S36" i="2"/>
  <c r="W257" i="2" l="1"/>
  <c r="S256" i="2"/>
  <c r="S213" i="2"/>
  <c r="W214" i="2"/>
  <c r="S169" i="2"/>
  <c r="W170" i="2"/>
  <c r="W125" i="2"/>
  <c r="S124" i="2"/>
  <c r="W82" i="2"/>
  <c r="S81" i="2"/>
  <c r="W38" i="2"/>
  <c r="S37" i="2"/>
  <c r="S257" i="2" l="1"/>
  <c r="W258" i="2"/>
  <c r="W215" i="2"/>
  <c r="S214" i="2"/>
  <c r="W171" i="2"/>
  <c r="S170" i="2"/>
  <c r="S125" i="2"/>
  <c r="W126" i="2"/>
  <c r="W83" i="2"/>
  <c r="S82" i="2"/>
  <c r="W39" i="2"/>
  <c r="S38" i="2"/>
  <c r="W259" i="2" l="1"/>
  <c r="S258" i="2"/>
  <c r="S215" i="2"/>
  <c r="W216" i="2"/>
  <c r="S171" i="2"/>
  <c r="W172" i="2"/>
  <c r="W127" i="2"/>
  <c r="S126" i="2"/>
  <c r="S83" i="2"/>
  <c r="W84" i="2"/>
  <c r="W40" i="2"/>
  <c r="S39" i="2"/>
  <c r="S259" i="2" l="1"/>
  <c r="W260" i="2"/>
  <c r="S216" i="2"/>
  <c r="W217" i="2"/>
  <c r="S172" i="2"/>
  <c r="W173" i="2"/>
  <c r="S127" i="2"/>
  <c r="W128" i="2"/>
  <c r="S84" i="2"/>
  <c r="W85" i="2"/>
  <c r="W41" i="2"/>
  <c r="S40" i="2"/>
  <c r="S260" i="2" l="1"/>
  <c r="W261" i="2"/>
  <c r="W218" i="2"/>
  <c r="S217" i="2"/>
  <c r="W174" i="2"/>
  <c r="S173" i="2"/>
  <c r="S128" i="2"/>
  <c r="W129" i="2"/>
  <c r="W86" i="2"/>
  <c r="S85" i="2"/>
  <c r="W42" i="2"/>
  <c r="S41" i="2"/>
  <c r="W262" i="2" l="1"/>
  <c r="S261" i="2"/>
  <c r="S218" i="2"/>
  <c r="W219" i="2"/>
  <c r="S174" i="2"/>
  <c r="W175" i="2"/>
  <c r="W130" i="2"/>
  <c r="S129" i="2"/>
  <c r="S86" i="2"/>
  <c r="W87" i="2"/>
  <c r="W43" i="2"/>
  <c r="S42" i="2"/>
  <c r="S43" i="2" l="1"/>
  <c r="W44" i="2"/>
  <c r="S262" i="2"/>
  <c r="W263" i="2"/>
  <c r="S219" i="2"/>
  <c r="W220" i="2"/>
  <c r="S175" i="2"/>
  <c r="W176" i="2"/>
  <c r="S130" i="2"/>
  <c r="W131" i="2"/>
  <c r="S87" i="2"/>
  <c r="W88" i="2"/>
  <c r="W45" i="2" l="1"/>
  <c r="S45" i="2" s="1"/>
  <c r="S44" i="2"/>
  <c r="S263" i="2"/>
  <c r="W264" i="2"/>
  <c r="W221" i="2"/>
  <c r="S221" i="2" s="1"/>
  <c r="S220" i="2"/>
  <c r="W177" i="2"/>
  <c r="S177" i="2" s="1"/>
  <c r="S176" i="2"/>
  <c r="S131" i="2"/>
  <c r="W132" i="2"/>
  <c r="W89" i="2"/>
  <c r="S89" i="2" s="1"/>
  <c r="S88" i="2"/>
  <c r="W265" i="2" l="1"/>
  <c r="S265" i="2" s="1"/>
  <c r="S264" i="2"/>
  <c r="W133" i="2"/>
  <c r="S133" i="2" s="1"/>
  <c r="S132" i="2"/>
</calcChain>
</file>

<file path=xl/sharedStrings.xml><?xml version="1.0" encoding="utf-8"?>
<sst xmlns="http://schemas.openxmlformats.org/spreadsheetml/2006/main" count="10625" uniqueCount="127">
  <si>
    <t>Age</t>
  </si>
  <si>
    <t>Status</t>
  </si>
  <si>
    <t>Studies</t>
  </si>
  <si>
    <t>LOCExperience</t>
  </si>
  <si>
    <t>YearsOfExperience</t>
  </si>
  <si>
    <t>impression</t>
  </si>
  <si>
    <t>preference</t>
  </si>
  <si>
    <t>possibleEffect</t>
  </si>
  <si>
    <t>Notation</t>
  </si>
  <si>
    <t>Number_of_parameters</t>
  </si>
  <si>
    <t>number_of_given_answers</t>
  </si>
  <si>
    <t>expected_answer</t>
  </si>
  <si>
    <t>given_answer</t>
  </si>
  <si>
    <t>is_correct</t>
  </si>
  <si>
    <t>time_in_milliseconds</t>
  </si>
  <si>
    <t>between 25 and (excluding) 30</t>
  </si>
  <si>
    <t>Professional software developer</t>
  </si>
  <si>
    <t>I do not study</t>
  </si>
  <si>
    <t>I write code almost every day</t>
  </si>
  <si>
    <t>more than 3 years, but less than or equal 5 year</t>
  </si>
  <si>
    <t>Static types made it much easier for me</t>
  </si>
  <si>
    <t>Definitively statically typed languages</t>
  </si>
  <si>
    <t>Rather no</t>
  </si>
  <si>
    <t>no_types</t>
  </si>
  <si>
    <t>Target(M(), V(), R(), G(), S())</t>
  </si>
  <si>
    <t>true</t>
  </si>
  <si>
    <t>types</t>
  </si>
  <si>
    <t>Target(O(), M(), N(), I(), V())</t>
  </si>
  <si>
    <t>Target(F(), D(), I())</t>
  </si>
  <si>
    <t>Target(A())</t>
  </si>
  <si>
    <t>Target(A(), Y(), J(), T(), E())</t>
  </si>
  <si>
    <t>Target(J(), M(), T())</t>
  </si>
  <si>
    <t>Target(E())</t>
  </si>
  <si>
    <t>Target(L())</t>
  </si>
  <si>
    <t>Target(Y())</t>
  </si>
  <si>
    <t>Target(S(), Q(), Y(), K(), E())</t>
  </si>
  <si>
    <t>Target(R(), N(), Z())</t>
  </si>
  <si>
    <t>Target(W(), K(), U())</t>
  </si>
  <si>
    <t>Participant</t>
  </si>
  <si>
    <t>1d</t>
  </si>
  <si>
    <t>between 30 and (excluding) 35</t>
  </si>
  <si>
    <t>Definitively no</t>
  </si>
  <si>
    <t>Target(M(),V(),R(),G(),S())</t>
  </si>
  <si>
    <t>false</t>
  </si>
  <si>
    <t>Target(O(),M(),N(),I(),V())</t>
  </si>
  <si>
    <t>Target(F(),D(),I())</t>
  </si>
  <si>
    <t>Target(A(),Y(),J(),T(),E())</t>
  </si>
  <si>
    <t>Target(J(),M(),T())</t>
  </si>
  <si>
    <t>Target(S(),Q(),Y(),K(),E())</t>
  </si>
  <si>
    <t>Target(R(),N(),Z())</t>
  </si>
  <si>
    <t>Target(W(),K(),U())</t>
  </si>
  <si>
    <t>2d</t>
  </si>
  <si>
    <t>between 35 and (excluding) 40</t>
  </si>
  <si>
    <t>I frequently write code</t>
  </si>
  <si>
    <t>more than 5 years</t>
  </si>
  <si>
    <t>Static types made it slightly easier for me</t>
  </si>
  <si>
    <t>Slightly statically typed languages</t>
  </si>
  <si>
    <t>Target(O(), M(), N(), I(),V())</t>
  </si>
  <si>
    <t>3d</t>
  </si>
  <si>
    <t>40 or older</t>
  </si>
  <si>
    <t>4d</t>
  </si>
  <si>
    <t>Rather yes</t>
  </si>
  <si>
    <t>5d</t>
  </si>
  <si>
    <t>6d</t>
  </si>
  <si>
    <t>PhD student</t>
  </si>
  <si>
    <t>Computer science</t>
  </si>
  <si>
    <t>I don't think typing matters much</t>
  </si>
  <si>
    <t>Target(O(), M(), N(),I(), V())</t>
  </si>
  <si>
    <t>less than or equal 1 year</t>
  </si>
  <si>
    <t>8phd</t>
  </si>
  <si>
    <t>9phd</t>
  </si>
  <si>
    <t>7d</t>
  </si>
  <si>
    <t>more than 1 year, but less than or equal 3 years</t>
  </si>
  <si>
    <t xml:space="preserve">Target(S(), Q(), Y(), K(), E()) </t>
  </si>
  <si>
    <t>10d</t>
  </si>
  <si>
    <t>Target(M(),V(),R(),G(),Q())</t>
  </si>
  <si>
    <t>11d</t>
  </si>
  <si>
    <t>12d</t>
  </si>
  <si>
    <t>Slightly rather dynamically typed languages</t>
  </si>
  <si>
    <t>13phd</t>
  </si>
  <si>
    <t>14phd</t>
  </si>
  <si>
    <t>15phd</t>
  </si>
  <si>
    <t>none</t>
  </si>
  <si>
    <t>Definitively dynamically typed languages</t>
  </si>
  <si>
    <t>16phd</t>
  </si>
  <si>
    <t>I write some LOC from time to time</t>
  </si>
  <si>
    <t>Target(S(), V(), R(), G(), S())</t>
  </si>
  <si>
    <t>17phd</t>
  </si>
  <si>
    <t>I do not think that there was a difference between static and dynamic types</t>
  </si>
  <si>
    <t>undefined</t>
  </si>
  <si>
    <t>18phd</t>
  </si>
  <si>
    <t>19phd</t>
  </si>
  <si>
    <t>20phd</t>
  </si>
  <si>
    <t>Target(M(), V(), R(), G(), G(), S())</t>
  </si>
  <si>
    <t>21d</t>
  </si>
  <si>
    <t>25%Quantil</t>
  </si>
  <si>
    <t>75%Quantil</t>
  </si>
  <si>
    <t>Is_Outlier</t>
  </si>
  <si>
    <t>IQR</t>
  </si>
  <si>
    <t>Lower_Outlier_Limit</t>
  </si>
  <si>
    <t>TaskNo</t>
  </si>
  <si>
    <t>22phd</t>
  </si>
  <si>
    <t>Pno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</si>
  <si>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</si>
  <si>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</si>
  <si>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</si>
  <si>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</si>
  <si>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</si>
  <si>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</si>
  <si>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</si>
  <si>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</si>
  <si>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</si>
  <si>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</si>
  <si>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</si>
  <si>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</si>
  <si>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</si>
  <si>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</si>
  <si>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</si>
  <si>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</si>
  <si>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</si>
  <si>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</si>
  <si>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</si>
  <si>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</si>
  <si>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</si>
  <si>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</si>
  <si>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Minutes</t>
  </si>
  <si>
    <t>Minutes per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</si>
</sst>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8"/>
  <sheetViews>
    <sheetView tabSelected="1" topLeftCell="I251" workbookViewId="0">
      <selection activeCell="W266" sqref="W266"/>
    </sheetView>
  </sheetViews>
  <sheetFormatPr baseColWidth="10" defaultColWidth="8.7265625" defaultRowHeight="14.5" x14ac:dyDescent="0.35"/>
  <cols>
    <col min="1" max="1" width="13.6328125" customWidth="1"/>
    <col min="2" max="2" width="6" customWidth="1"/>
  </cols>
  <sheetData>
    <row r="1" spans="1:21" x14ac:dyDescent="0.35">
      <c r="A1" t="s">
        <v>38</v>
      </c>
      <c r="B1" t="s">
        <v>100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21" x14ac:dyDescent="0.35">
      <c r="A2" t="s">
        <v>39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5</v>
      </c>
      <c r="M2">
        <v>1</v>
      </c>
      <c r="N2" t="s">
        <v>24</v>
      </c>
      <c r="O2" t="s">
        <v>24</v>
      </c>
      <c r="P2" t="s">
        <v>25</v>
      </c>
      <c r="Q2">
        <v>64137</v>
      </c>
      <c r="T2">
        <f>SUM(Q2:Q13)</f>
        <v>296132</v>
      </c>
      <c r="U2">
        <f>T2/1000/60</f>
        <v>4.9355333333333338</v>
      </c>
    </row>
    <row r="3" spans="1:21" x14ac:dyDescent="0.35">
      <c r="A3" t="s">
        <v>39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26</v>
      </c>
      <c r="L3">
        <v>5</v>
      </c>
      <c r="M3">
        <v>1</v>
      </c>
      <c r="N3" t="s">
        <v>27</v>
      </c>
      <c r="O3" t="s">
        <v>27</v>
      </c>
      <c r="P3" t="s">
        <v>25</v>
      </c>
      <c r="Q3">
        <v>29205</v>
      </c>
    </row>
    <row r="4" spans="1:21" x14ac:dyDescent="0.35">
      <c r="A4" t="s">
        <v>39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26</v>
      </c>
      <c r="L4">
        <v>3</v>
      </c>
      <c r="M4">
        <v>1</v>
      </c>
      <c r="N4" t="s">
        <v>28</v>
      </c>
      <c r="O4" t="s">
        <v>28</v>
      </c>
      <c r="P4" t="s">
        <v>25</v>
      </c>
      <c r="Q4">
        <v>22820</v>
      </c>
    </row>
    <row r="5" spans="1:21" x14ac:dyDescent="0.35">
      <c r="A5" t="s">
        <v>39</v>
      </c>
      <c r="B5">
        <v>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>
        <v>1</v>
      </c>
      <c r="M5">
        <v>1</v>
      </c>
      <c r="N5" t="s">
        <v>29</v>
      </c>
      <c r="O5" t="s">
        <v>29</v>
      </c>
      <c r="P5" t="s">
        <v>25</v>
      </c>
      <c r="Q5">
        <v>13940</v>
      </c>
    </row>
    <row r="6" spans="1:21" x14ac:dyDescent="0.35">
      <c r="A6" t="s">
        <v>39</v>
      </c>
      <c r="B6">
        <v>5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26</v>
      </c>
      <c r="L6">
        <v>5</v>
      </c>
      <c r="M6">
        <v>1</v>
      </c>
      <c r="N6" t="s">
        <v>30</v>
      </c>
      <c r="O6" t="s">
        <v>30</v>
      </c>
      <c r="P6" t="s">
        <v>25</v>
      </c>
      <c r="Q6">
        <v>29246</v>
      </c>
    </row>
    <row r="7" spans="1:21" x14ac:dyDescent="0.35">
      <c r="A7" t="s">
        <v>39</v>
      </c>
      <c r="B7">
        <v>6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>
        <v>3</v>
      </c>
      <c r="M7">
        <v>1</v>
      </c>
      <c r="N7" t="s">
        <v>31</v>
      </c>
      <c r="O7" t="s">
        <v>31</v>
      </c>
      <c r="P7" t="s">
        <v>25</v>
      </c>
      <c r="Q7">
        <v>26909</v>
      </c>
    </row>
    <row r="8" spans="1:21" x14ac:dyDescent="0.35">
      <c r="A8" t="s">
        <v>39</v>
      </c>
      <c r="B8">
        <v>7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26</v>
      </c>
      <c r="L8">
        <v>1</v>
      </c>
      <c r="M8">
        <v>1</v>
      </c>
      <c r="N8" t="s">
        <v>32</v>
      </c>
      <c r="O8" t="s">
        <v>32</v>
      </c>
      <c r="P8" t="s">
        <v>25</v>
      </c>
      <c r="Q8">
        <v>6107</v>
      </c>
    </row>
    <row r="9" spans="1:21" x14ac:dyDescent="0.35">
      <c r="A9" t="s">
        <v>39</v>
      </c>
      <c r="B9">
        <v>8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26</v>
      </c>
      <c r="L9">
        <v>1</v>
      </c>
      <c r="M9">
        <v>1</v>
      </c>
      <c r="N9" t="s">
        <v>33</v>
      </c>
      <c r="O9" t="s">
        <v>33</v>
      </c>
      <c r="P9" t="s">
        <v>25</v>
      </c>
      <c r="Q9">
        <v>6338</v>
      </c>
    </row>
    <row r="10" spans="1:21" x14ac:dyDescent="0.35">
      <c r="A10" t="s">
        <v>39</v>
      </c>
      <c r="B10">
        <v>9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>
        <v>1</v>
      </c>
      <c r="M10">
        <v>1</v>
      </c>
      <c r="N10" t="s">
        <v>34</v>
      </c>
      <c r="O10" t="s">
        <v>34</v>
      </c>
      <c r="P10" t="s">
        <v>25</v>
      </c>
      <c r="Q10">
        <v>10858</v>
      </c>
    </row>
    <row r="11" spans="1:21" x14ac:dyDescent="0.35">
      <c r="A11" t="s">
        <v>39</v>
      </c>
      <c r="B11">
        <v>10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>
        <v>5</v>
      </c>
      <c r="M11">
        <v>1</v>
      </c>
      <c r="N11" t="s">
        <v>35</v>
      </c>
      <c r="O11" t="s">
        <v>35</v>
      </c>
      <c r="P11" t="s">
        <v>25</v>
      </c>
      <c r="Q11">
        <v>50635</v>
      </c>
    </row>
    <row r="12" spans="1:21" x14ac:dyDescent="0.35">
      <c r="A12" t="s">
        <v>39</v>
      </c>
      <c r="B12">
        <v>11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26</v>
      </c>
      <c r="L12">
        <v>3</v>
      </c>
      <c r="M12">
        <v>1</v>
      </c>
      <c r="N12" t="s">
        <v>36</v>
      </c>
      <c r="O12" t="s">
        <v>36</v>
      </c>
      <c r="P12" t="s">
        <v>25</v>
      </c>
      <c r="Q12">
        <v>14329</v>
      </c>
    </row>
    <row r="13" spans="1:21" x14ac:dyDescent="0.35">
      <c r="A13" t="s">
        <v>39</v>
      </c>
      <c r="B13">
        <v>12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>
        <v>3</v>
      </c>
      <c r="M13">
        <v>1</v>
      </c>
      <c r="N13" t="s">
        <v>37</v>
      </c>
      <c r="O13" t="s">
        <v>37</v>
      </c>
      <c r="P13" t="s">
        <v>25</v>
      </c>
      <c r="Q13">
        <v>21608</v>
      </c>
    </row>
    <row r="14" spans="1:21" x14ac:dyDescent="0.35">
      <c r="A14" t="s">
        <v>51</v>
      </c>
      <c r="B14">
        <v>1</v>
      </c>
      <c r="C14" t="s">
        <v>40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41</v>
      </c>
      <c r="K14" t="s">
        <v>23</v>
      </c>
      <c r="L14">
        <v>5</v>
      </c>
      <c r="M14">
        <v>1</v>
      </c>
      <c r="N14" t="s">
        <v>24</v>
      </c>
      <c r="O14" t="s">
        <v>42</v>
      </c>
      <c r="P14" t="s">
        <v>43</v>
      </c>
      <c r="Q14">
        <v>51784</v>
      </c>
      <c r="T14">
        <f>SUM(Q14:Q25)</f>
        <v>193090</v>
      </c>
      <c r="U14">
        <f>T14/1000/60</f>
        <v>3.2181666666666668</v>
      </c>
    </row>
    <row r="15" spans="1:21" x14ac:dyDescent="0.35">
      <c r="A15" t="s">
        <v>51</v>
      </c>
      <c r="B15">
        <v>2</v>
      </c>
      <c r="C15" t="s">
        <v>40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41</v>
      </c>
      <c r="K15" t="s">
        <v>26</v>
      </c>
      <c r="L15">
        <v>5</v>
      </c>
      <c r="M15">
        <v>1</v>
      </c>
      <c r="N15" t="s">
        <v>27</v>
      </c>
      <c r="O15" t="s">
        <v>44</v>
      </c>
      <c r="P15" t="s">
        <v>43</v>
      </c>
      <c r="Q15">
        <v>7672</v>
      </c>
    </row>
    <row r="16" spans="1:21" x14ac:dyDescent="0.35">
      <c r="A16" t="s">
        <v>51</v>
      </c>
      <c r="B16">
        <v>3</v>
      </c>
      <c r="C16" t="s">
        <v>40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41</v>
      </c>
      <c r="K16" t="s">
        <v>26</v>
      </c>
      <c r="L16">
        <v>3</v>
      </c>
      <c r="M16">
        <v>1</v>
      </c>
      <c r="N16" t="s">
        <v>28</v>
      </c>
      <c r="O16" t="s">
        <v>45</v>
      </c>
      <c r="P16" t="s">
        <v>43</v>
      </c>
      <c r="Q16">
        <v>6226</v>
      </c>
    </row>
    <row r="17" spans="1:21" x14ac:dyDescent="0.35">
      <c r="A17" t="s">
        <v>51</v>
      </c>
      <c r="B17">
        <v>4</v>
      </c>
      <c r="C17" t="s">
        <v>40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41</v>
      </c>
      <c r="K17" t="s">
        <v>23</v>
      </c>
      <c r="L17">
        <v>1</v>
      </c>
      <c r="M17">
        <v>1</v>
      </c>
      <c r="N17" t="s">
        <v>29</v>
      </c>
      <c r="O17" t="s">
        <v>29</v>
      </c>
      <c r="P17" t="s">
        <v>25</v>
      </c>
      <c r="Q17">
        <v>6583</v>
      </c>
    </row>
    <row r="18" spans="1:21" x14ac:dyDescent="0.35">
      <c r="A18" t="s">
        <v>51</v>
      </c>
      <c r="B18">
        <v>5</v>
      </c>
      <c r="C18" t="s">
        <v>40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41</v>
      </c>
      <c r="K18" t="s">
        <v>26</v>
      </c>
      <c r="L18">
        <v>5</v>
      </c>
      <c r="M18">
        <v>1</v>
      </c>
      <c r="N18" t="s">
        <v>30</v>
      </c>
      <c r="O18" t="s">
        <v>46</v>
      </c>
      <c r="P18" t="s">
        <v>43</v>
      </c>
      <c r="Q18">
        <v>7836</v>
      </c>
    </row>
    <row r="19" spans="1:21" x14ac:dyDescent="0.35">
      <c r="A19" t="s">
        <v>51</v>
      </c>
      <c r="B19">
        <v>6</v>
      </c>
      <c r="C19" t="s">
        <v>40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41</v>
      </c>
      <c r="K19" t="s">
        <v>23</v>
      </c>
      <c r="L19">
        <v>3</v>
      </c>
      <c r="M19">
        <v>1</v>
      </c>
      <c r="N19" t="s">
        <v>31</v>
      </c>
      <c r="O19" t="s">
        <v>47</v>
      </c>
      <c r="P19" t="s">
        <v>43</v>
      </c>
      <c r="Q19">
        <v>29022</v>
      </c>
    </row>
    <row r="20" spans="1:21" x14ac:dyDescent="0.35">
      <c r="A20" t="s">
        <v>51</v>
      </c>
      <c r="B20">
        <v>7</v>
      </c>
      <c r="C20" t="s">
        <v>40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41</v>
      </c>
      <c r="K20" t="s">
        <v>26</v>
      </c>
      <c r="L20">
        <v>1</v>
      </c>
      <c r="M20">
        <v>1</v>
      </c>
      <c r="N20" t="s">
        <v>32</v>
      </c>
      <c r="O20" t="s">
        <v>32</v>
      </c>
      <c r="P20" t="s">
        <v>25</v>
      </c>
      <c r="Q20">
        <v>3502</v>
      </c>
    </row>
    <row r="21" spans="1:21" x14ac:dyDescent="0.35">
      <c r="A21" t="s">
        <v>51</v>
      </c>
      <c r="B21">
        <v>8</v>
      </c>
      <c r="C21" t="s">
        <v>40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41</v>
      </c>
      <c r="K21" t="s">
        <v>26</v>
      </c>
      <c r="L21">
        <v>1</v>
      </c>
      <c r="M21">
        <v>1</v>
      </c>
      <c r="N21" t="s">
        <v>33</v>
      </c>
      <c r="O21" t="s">
        <v>33</v>
      </c>
      <c r="P21" t="s">
        <v>25</v>
      </c>
      <c r="Q21">
        <v>2786</v>
      </c>
    </row>
    <row r="22" spans="1:21" x14ac:dyDescent="0.35">
      <c r="A22" t="s">
        <v>51</v>
      </c>
      <c r="B22">
        <v>9</v>
      </c>
      <c r="C22" t="s">
        <v>40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41</v>
      </c>
      <c r="K22" t="s">
        <v>23</v>
      </c>
      <c r="L22">
        <v>1</v>
      </c>
      <c r="M22">
        <v>1</v>
      </c>
      <c r="N22" t="s">
        <v>34</v>
      </c>
      <c r="O22" t="s">
        <v>34</v>
      </c>
      <c r="P22" t="s">
        <v>25</v>
      </c>
      <c r="Q22">
        <v>7975</v>
      </c>
    </row>
    <row r="23" spans="1:21" x14ac:dyDescent="0.35">
      <c r="A23" t="s">
        <v>51</v>
      </c>
      <c r="B23">
        <v>10</v>
      </c>
      <c r="C23" t="s">
        <v>40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41</v>
      </c>
      <c r="K23" t="s">
        <v>23</v>
      </c>
      <c r="L23">
        <v>5</v>
      </c>
      <c r="M23">
        <v>1</v>
      </c>
      <c r="N23" t="s">
        <v>35</v>
      </c>
      <c r="O23" t="s">
        <v>48</v>
      </c>
      <c r="P23" t="s">
        <v>43</v>
      </c>
      <c r="Q23">
        <v>39091</v>
      </c>
    </row>
    <row r="24" spans="1:21" x14ac:dyDescent="0.35">
      <c r="A24" t="s">
        <v>51</v>
      </c>
      <c r="B24">
        <v>11</v>
      </c>
      <c r="C24" t="s">
        <v>40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41</v>
      </c>
      <c r="K24" t="s">
        <v>26</v>
      </c>
      <c r="L24">
        <v>3</v>
      </c>
      <c r="M24">
        <v>1</v>
      </c>
      <c r="N24" t="s">
        <v>36</v>
      </c>
      <c r="O24" t="s">
        <v>49</v>
      </c>
      <c r="P24" t="s">
        <v>43</v>
      </c>
      <c r="Q24">
        <v>6446</v>
      </c>
    </row>
    <row r="25" spans="1:21" x14ac:dyDescent="0.35">
      <c r="A25" t="s">
        <v>51</v>
      </c>
      <c r="B25">
        <v>12</v>
      </c>
      <c r="C25" t="s">
        <v>40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41</v>
      </c>
      <c r="K25" t="s">
        <v>23</v>
      </c>
      <c r="L25">
        <v>3</v>
      </c>
      <c r="M25">
        <v>1</v>
      </c>
      <c r="N25" t="s">
        <v>37</v>
      </c>
      <c r="O25" t="s">
        <v>50</v>
      </c>
      <c r="P25" t="s">
        <v>43</v>
      </c>
      <c r="Q25">
        <v>24167</v>
      </c>
    </row>
    <row r="26" spans="1:21" x14ac:dyDescent="0.35">
      <c r="A26" t="s">
        <v>58</v>
      </c>
      <c r="B26">
        <v>1</v>
      </c>
      <c r="C26" t="s">
        <v>52</v>
      </c>
      <c r="D26" t="s">
        <v>16</v>
      </c>
      <c r="E26" t="s">
        <v>17</v>
      </c>
      <c r="F26" t="s">
        <v>53</v>
      </c>
      <c r="G26" t="s">
        <v>54</v>
      </c>
      <c r="H26" t="s">
        <v>55</v>
      </c>
      <c r="I26" t="s">
        <v>56</v>
      </c>
      <c r="J26" t="s">
        <v>22</v>
      </c>
      <c r="K26" t="s">
        <v>23</v>
      </c>
      <c r="L26">
        <v>5</v>
      </c>
      <c r="M26">
        <v>1</v>
      </c>
      <c r="N26" t="s">
        <v>24</v>
      </c>
      <c r="O26" t="s">
        <v>24</v>
      </c>
      <c r="P26" t="s">
        <v>25</v>
      </c>
      <c r="Q26">
        <v>83605</v>
      </c>
      <c r="T26">
        <f>SUM(Q26:Q37)</f>
        <v>305088</v>
      </c>
      <c r="U26">
        <f>T26/1000/60</f>
        <v>5.0848000000000004</v>
      </c>
    </row>
    <row r="27" spans="1:21" x14ac:dyDescent="0.35">
      <c r="A27" t="s">
        <v>58</v>
      </c>
      <c r="B27">
        <v>2</v>
      </c>
      <c r="C27" t="s">
        <v>52</v>
      </c>
      <c r="D27" t="s">
        <v>16</v>
      </c>
      <c r="E27" t="s">
        <v>17</v>
      </c>
      <c r="F27" t="s">
        <v>53</v>
      </c>
      <c r="G27" t="s">
        <v>54</v>
      </c>
      <c r="H27" t="s">
        <v>55</v>
      </c>
      <c r="I27" t="s">
        <v>56</v>
      </c>
      <c r="J27" t="s">
        <v>22</v>
      </c>
      <c r="K27" t="s">
        <v>26</v>
      </c>
      <c r="L27">
        <v>5</v>
      </c>
      <c r="M27">
        <v>1</v>
      </c>
      <c r="N27" t="s">
        <v>27</v>
      </c>
      <c r="O27" t="s">
        <v>57</v>
      </c>
      <c r="P27" t="s">
        <v>43</v>
      </c>
      <c r="Q27">
        <v>30320</v>
      </c>
    </row>
    <row r="28" spans="1:21" x14ac:dyDescent="0.35">
      <c r="A28" t="s">
        <v>58</v>
      </c>
      <c r="B28">
        <v>3</v>
      </c>
      <c r="C28" t="s">
        <v>52</v>
      </c>
      <c r="D28" t="s">
        <v>16</v>
      </c>
      <c r="E28" t="s">
        <v>17</v>
      </c>
      <c r="F28" t="s">
        <v>53</v>
      </c>
      <c r="G28" t="s">
        <v>54</v>
      </c>
      <c r="H28" t="s">
        <v>55</v>
      </c>
      <c r="I28" t="s">
        <v>56</v>
      </c>
      <c r="J28" t="s">
        <v>22</v>
      </c>
      <c r="K28" t="s">
        <v>26</v>
      </c>
      <c r="L28">
        <v>3</v>
      </c>
      <c r="M28">
        <v>1</v>
      </c>
      <c r="N28" t="s">
        <v>28</v>
      </c>
      <c r="O28" t="s">
        <v>28</v>
      </c>
      <c r="P28" t="s">
        <v>25</v>
      </c>
      <c r="Q28">
        <v>15828</v>
      </c>
    </row>
    <row r="29" spans="1:21" x14ac:dyDescent="0.35">
      <c r="A29" t="s">
        <v>58</v>
      </c>
      <c r="B29">
        <v>4</v>
      </c>
      <c r="C29" t="s">
        <v>52</v>
      </c>
      <c r="D29" t="s">
        <v>16</v>
      </c>
      <c r="E29" t="s">
        <v>17</v>
      </c>
      <c r="F29" t="s">
        <v>53</v>
      </c>
      <c r="G29" t="s">
        <v>54</v>
      </c>
      <c r="H29" t="s">
        <v>55</v>
      </c>
      <c r="I29" t="s">
        <v>56</v>
      </c>
      <c r="J29" t="s">
        <v>22</v>
      </c>
      <c r="K29" t="s">
        <v>23</v>
      </c>
      <c r="L29">
        <v>1</v>
      </c>
      <c r="M29">
        <v>1</v>
      </c>
      <c r="N29" t="s">
        <v>29</v>
      </c>
      <c r="O29" t="s">
        <v>29</v>
      </c>
      <c r="P29" t="s">
        <v>25</v>
      </c>
      <c r="Q29">
        <v>11960</v>
      </c>
    </row>
    <row r="30" spans="1:21" x14ac:dyDescent="0.35">
      <c r="A30" t="s">
        <v>58</v>
      </c>
      <c r="B30">
        <v>5</v>
      </c>
      <c r="C30" t="s">
        <v>52</v>
      </c>
      <c r="D30" t="s">
        <v>16</v>
      </c>
      <c r="E30" t="s">
        <v>17</v>
      </c>
      <c r="F30" t="s">
        <v>53</v>
      </c>
      <c r="G30" t="s">
        <v>54</v>
      </c>
      <c r="H30" t="s">
        <v>55</v>
      </c>
      <c r="I30" t="s">
        <v>56</v>
      </c>
      <c r="J30" t="s">
        <v>22</v>
      </c>
      <c r="K30" t="s">
        <v>26</v>
      </c>
      <c r="L30">
        <v>5</v>
      </c>
      <c r="M30">
        <v>1</v>
      </c>
      <c r="N30" t="s">
        <v>30</v>
      </c>
      <c r="O30" t="s">
        <v>30</v>
      </c>
      <c r="P30" t="s">
        <v>25</v>
      </c>
      <c r="Q30">
        <v>18294</v>
      </c>
    </row>
    <row r="31" spans="1:21" x14ac:dyDescent="0.35">
      <c r="A31" t="s">
        <v>58</v>
      </c>
      <c r="B31">
        <v>6</v>
      </c>
      <c r="C31" t="s">
        <v>52</v>
      </c>
      <c r="D31" t="s">
        <v>16</v>
      </c>
      <c r="E31" t="s">
        <v>17</v>
      </c>
      <c r="F31" t="s">
        <v>53</v>
      </c>
      <c r="G31" t="s">
        <v>54</v>
      </c>
      <c r="H31" t="s">
        <v>55</v>
      </c>
      <c r="I31" t="s">
        <v>56</v>
      </c>
      <c r="J31" t="s">
        <v>22</v>
      </c>
      <c r="K31" t="s">
        <v>23</v>
      </c>
      <c r="L31">
        <v>3</v>
      </c>
      <c r="M31">
        <v>1</v>
      </c>
      <c r="N31" t="s">
        <v>31</v>
      </c>
      <c r="O31" t="s">
        <v>31</v>
      </c>
      <c r="P31" t="s">
        <v>25</v>
      </c>
      <c r="Q31">
        <v>28350</v>
      </c>
    </row>
    <row r="32" spans="1:21" x14ac:dyDescent="0.35">
      <c r="A32" t="s">
        <v>58</v>
      </c>
      <c r="B32">
        <v>7</v>
      </c>
      <c r="C32" t="s">
        <v>52</v>
      </c>
      <c r="D32" t="s">
        <v>16</v>
      </c>
      <c r="E32" t="s">
        <v>17</v>
      </c>
      <c r="F32" t="s">
        <v>53</v>
      </c>
      <c r="G32" t="s">
        <v>54</v>
      </c>
      <c r="H32" t="s">
        <v>55</v>
      </c>
      <c r="I32" t="s">
        <v>56</v>
      </c>
      <c r="J32" t="s">
        <v>22</v>
      </c>
      <c r="K32" t="s">
        <v>26</v>
      </c>
      <c r="L32">
        <v>1</v>
      </c>
      <c r="M32">
        <v>1</v>
      </c>
      <c r="N32" t="s">
        <v>32</v>
      </c>
      <c r="O32" t="s">
        <v>32</v>
      </c>
      <c r="P32" t="s">
        <v>25</v>
      </c>
      <c r="Q32">
        <v>6931</v>
      </c>
    </row>
    <row r="33" spans="1:21" x14ac:dyDescent="0.35">
      <c r="A33" t="s">
        <v>58</v>
      </c>
      <c r="B33">
        <v>8</v>
      </c>
      <c r="C33" t="s">
        <v>52</v>
      </c>
      <c r="D33" t="s">
        <v>16</v>
      </c>
      <c r="E33" t="s">
        <v>17</v>
      </c>
      <c r="F33" t="s">
        <v>53</v>
      </c>
      <c r="G33" t="s">
        <v>54</v>
      </c>
      <c r="H33" t="s">
        <v>55</v>
      </c>
      <c r="I33" t="s">
        <v>56</v>
      </c>
      <c r="J33" t="s">
        <v>22</v>
      </c>
      <c r="K33" t="s">
        <v>26</v>
      </c>
      <c r="L33">
        <v>1</v>
      </c>
      <c r="M33">
        <v>1</v>
      </c>
      <c r="N33" t="s">
        <v>33</v>
      </c>
      <c r="O33" t="s">
        <v>33</v>
      </c>
      <c r="P33" t="s">
        <v>25</v>
      </c>
      <c r="Q33">
        <v>7118</v>
      </c>
    </row>
    <row r="34" spans="1:21" x14ac:dyDescent="0.35">
      <c r="A34" t="s">
        <v>58</v>
      </c>
      <c r="B34">
        <v>9</v>
      </c>
      <c r="C34" t="s">
        <v>52</v>
      </c>
      <c r="D34" t="s">
        <v>16</v>
      </c>
      <c r="E34" t="s">
        <v>17</v>
      </c>
      <c r="F34" t="s">
        <v>53</v>
      </c>
      <c r="G34" t="s">
        <v>54</v>
      </c>
      <c r="H34" t="s">
        <v>55</v>
      </c>
      <c r="I34" t="s">
        <v>56</v>
      </c>
      <c r="J34" t="s">
        <v>22</v>
      </c>
      <c r="K34" t="s">
        <v>23</v>
      </c>
      <c r="L34">
        <v>1</v>
      </c>
      <c r="M34">
        <v>1</v>
      </c>
      <c r="N34" t="s">
        <v>34</v>
      </c>
      <c r="O34" t="s">
        <v>34</v>
      </c>
      <c r="P34" t="s">
        <v>25</v>
      </c>
      <c r="Q34">
        <v>10979</v>
      </c>
    </row>
    <row r="35" spans="1:21" x14ac:dyDescent="0.35">
      <c r="A35" t="s">
        <v>58</v>
      </c>
      <c r="B35">
        <v>10</v>
      </c>
      <c r="C35" t="s">
        <v>52</v>
      </c>
      <c r="D35" t="s">
        <v>16</v>
      </c>
      <c r="E35" t="s">
        <v>17</v>
      </c>
      <c r="F35" t="s">
        <v>53</v>
      </c>
      <c r="G35" t="s">
        <v>54</v>
      </c>
      <c r="H35" t="s">
        <v>55</v>
      </c>
      <c r="I35" t="s">
        <v>56</v>
      </c>
      <c r="J35" t="s">
        <v>22</v>
      </c>
      <c r="K35" t="s">
        <v>23</v>
      </c>
      <c r="L35">
        <v>5</v>
      </c>
      <c r="M35">
        <v>1</v>
      </c>
      <c r="N35" t="s">
        <v>35</v>
      </c>
      <c r="O35" t="s">
        <v>35</v>
      </c>
      <c r="P35" t="s">
        <v>25</v>
      </c>
      <c r="Q35">
        <v>41389</v>
      </c>
    </row>
    <row r="36" spans="1:21" x14ac:dyDescent="0.35">
      <c r="A36" t="s">
        <v>58</v>
      </c>
      <c r="B36">
        <v>11</v>
      </c>
      <c r="C36" t="s">
        <v>52</v>
      </c>
      <c r="D36" t="s">
        <v>16</v>
      </c>
      <c r="E36" t="s">
        <v>17</v>
      </c>
      <c r="F36" t="s">
        <v>53</v>
      </c>
      <c r="G36" t="s">
        <v>54</v>
      </c>
      <c r="H36" t="s">
        <v>55</v>
      </c>
      <c r="I36" t="s">
        <v>56</v>
      </c>
      <c r="J36" t="s">
        <v>22</v>
      </c>
      <c r="K36" t="s">
        <v>26</v>
      </c>
      <c r="L36">
        <v>3</v>
      </c>
      <c r="M36">
        <v>1</v>
      </c>
      <c r="N36" t="s">
        <v>36</v>
      </c>
      <c r="O36" t="s">
        <v>36</v>
      </c>
      <c r="P36" t="s">
        <v>25</v>
      </c>
      <c r="Q36">
        <v>15964</v>
      </c>
    </row>
    <row r="37" spans="1:21" x14ac:dyDescent="0.35">
      <c r="A37" t="s">
        <v>58</v>
      </c>
      <c r="B37">
        <v>12</v>
      </c>
      <c r="C37" t="s">
        <v>52</v>
      </c>
      <c r="D37" t="s">
        <v>16</v>
      </c>
      <c r="E37" t="s">
        <v>17</v>
      </c>
      <c r="F37" t="s">
        <v>53</v>
      </c>
      <c r="G37" t="s">
        <v>54</v>
      </c>
      <c r="H37" t="s">
        <v>55</v>
      </c>
      <c r="I37" t="s">
        <v>56</v>
      </c>
      <c r="J37" t="s">
        <v>22</v>
      </c>
      <c r="K37" t="s">
        <v>23</v>
      </c>
      <c r="L37">
        <v>3</v>
      </c>
      <c r="M37">
        <v>1</v>
      </c>
      <c r="N37" t="s">
        <v>37</v>
      </c>
      <c r="O37" t="s">
        <v>37</v>
      </c>
      <c r="P37" t="s">
        <v>25</v>
      </c>
      <c r="Q37">
        <v>34350</v>
      </c>
    </row>
    <row r="38" spans="1:21" x14ac:dyDescent="0.35">
      <c r="A38" t="s">
        <v>60</v>
      </c>
      <c r="B38">
        <v>1</v>
      </c>
      <c r="C38" t="s">
        <v>59</v>
      </c>
      <c r="D38" t="s">
        <v>16</v>
      </c>
      <c r="E38" t="s">
        <v>17</v>
      </c>
      <c r="F38" t="s">
        <v>18</v>
      </c>
      <c r="G38" t="s">
        <v>54</v>
      </c>
      <c r="H38" t="s">
        <v>55</v>
      </c>
      <c r="I38" t="s">
        <v>21</v>
      </c>
      <c r="J38" t="s">
        <v>22</v>
      </c>
      <c r="K38" t="s">
        <v>23</v>
      </c>
      <c r="L38">
        <v>5</v>
      </c>
      <c r="M38">
        <v>1</v>
      </c>
      <c r="N38" t="s">
        <v>24</v>
      </c>
      <c r="O38" t="s">
        <v>24</v>
      </c>
      <c r="P38" t="s">
        <v>25</v>
      </c>
      <c r="Q38">
        <v>63853</v>
      </c>
      <c r="T38">
        <f>SUM(Q38:Q49)</f>
        <v>262007</v>
      </c>
      <c r="U38">
        <f>T38/1000/60</f>
        <v>4.3667833333333332</v>
      </c>
    </row>
    <row r="39" spans="1:21" x14ac:dyDescent="0.35">
      <c r="A39" t="s">
        <v>60</v>
      </c>
      <c r="B39">
        <v>2</v>
      </c>
      <c r="C39" t="s">
        <v>59</v>
      </c>
      <c r="D39" t="s">
        <v>16</v>
      </c>
      <c r="E39" t="s">
        <v>17</v>
      </c>
      <c r="F39" t="s">
        <v>18</v>
      </c>
      <c r="G39" t="s">
        <v>54</v>
      </c>
      <c r="H39" t="s">
        <v>55</v>
      </c>
      <c r="I39" t="s">
        <v>21</v>
      </c>
      <c r="J39" t="s">
        <v>22</v>
      </c>
      <c r="K39" t="s">
        <v>26</v>
      </c>
      <c r="L39">
        <v>5</v>
      </c>
      <c r="M39">
        <v>1</v>
      </c>
      <c r="N39" t="s">
        <v>27</v>
      </c>
      <c r="O39" t="s">
        <v>27</v>
      </c>
      <c r="P39" t="s">
        <v>25</v>
      </c>
      <c r="Q39">
        <v>21373</v>
      </c>
    </row>
    <row r="40" spans="1:21" x14ac:dyDescent="0.35">
      <c r="A40" t="s">
        <v>60</v>
      </c>
      <c r="B40">
        <v>3</v>
      </c>
      <c r="C40" t="s">
        <v>59</v>
      </c>
      <c r="D40" t="s">
        <v>16</v>
      </c>
      <c r="E40" t="s">
        <v>17</v>
      </c>
      <c r="F40" t="s">
        <v>18</v>
      </c>
      <c r="G40" t="s">
        <v>54</v>
      </c>
      <c r="H40" t="s">
        <v>55</v>
      </c>
      <c r="I40" t="s">
        <v>21</v>
      </c>
      <c r="J40" t="s">
        <v>22</v>
      </c>
      <c r="K40" t="s">
        <v>26</v>
      </c>
      <c r="L40">
        <v>3</v>
      </c>
      <c r="M40">
        <v>1</v>
      </c>
      <c r="N40" t="s">
        <v>28</v>
      </c>
      <c r="O40" t="s">
        <v>28</v>
      </c>
      <c r="P40" t="s">
        <v>25</v>
      </c>
      <c r="Q40">
        <v>14917</v>
      </c>
    </row>
    <row r="41" spans="1:21" x14ac:dyDescent="0.35">
      <c r="A41" t="s">
        <v>60</v>
      </c>
      <c r="B41">
        <v>4</v>
      </c>
      <c r="C41" t="s">
        <v>59</v>
      </c>
      <c r="D41" t="s">
        <v>16</v>
      </c>
      <c r="E41" t="s">
        <v>17</v>
      </c>
      <c r="F41" t="s">
        <v>18</v>
      </c>
      <c r="G41" t="s">
        <v>54</v>
      </c>
      <c r="H41" t="s">
        <v>55</v>
      </c>
      <c r="I41" t="s">
        <v>21</v>
      </c>
      <c r="J41" t="s">
        <v>22</v>
      </c>
      <c r="K41" t="s">
        <v>23</v>
      </c>
      <c r="L41">
        <v>1</v>
      </c>
      <c r="M41">
        <v>1</v>
      </c>
      <c r="N41" t="s">
        <v>29</v>
      </c>
      <c r="O41" t="s">
        <v>29</v>
      </c>
      <c r="P41" t="s">
        <v>25</v>
      </c>
      <c r="Q41">
        <v>12595</v>
      </c>
    </row>
    <row r="42" spans="1:21" x14ac:dyDescent="0.35">
      <c r="A42" t="s">
        <v>60</v>
      </c>
      <c r="B42">
        <v>5</v>
      </c>
      <c r="C42" t="s">
        <v>59</v>
      </c>
      <c r="D42" t="s">
        <v>16</v>
      </c>
      <c r="E42" t="s">
        <v>17</v>
      </c>
      <c r="F42" t="s">
        <v>18</v>
      </c>
      <c r="G42" t="s">
        <v>54</v>
      </c>
      <c r="H42" t="s">
        <v>55</v>
      </c>
      <c r="I42" t="s">
        <v>21</v>
      </c>
      <c r="J42" t="s">
        <v>22</v>
      </c>
      <c r="K42" t="s">
        <v>26</v>
      </c>
      <c r="L42">
        <v>5</v>
      </c>
      <c r="M42">
        <v>1</v>
      </c>
      <c r="N42" t="s">
        <v>30</v>
      </c>
      <c r="O42" t="s">
        <v>30</v>
      </c>
      <c r="P42" t="s">
        <v>25</v>
      </c>
      <c r="Q42">
        <v>21126</v>
      </c>
    </row>
    <row r="43" spans="1:21" x14ac:dyDescent="0.35">
      <c r="A43" t="s">
        <v>60</v>
      </c>
      <c r="B43">
        <v>6</v>
      </c>
      <c r="C43" t="s">
        <v>59</v>
      </c>
      <c r="D43" t="s">
        <v>16</v>
      </c>
      <c r="E43" t="s">
        <v>17</v>
      </c>
      <c r="F43" t="s">
        <v>18</v>
      </c>
      <c r="G43" t="s">
        <v>54</v>
      </c>
      <c r="H43" t="s">
        <v>55</v>
      </c>
      <c r="I43" t="s">
        <v>21</v>
      </c>
      <c r="J43" t="s">
        <v>22</v>
      </c>
      <c r="K43" t="s">
        <v>23</v>
      </c>
      <c r="L43">
        <v>3</v>
      </c>
      <c r="M43">
        <v>1</v>
      </c>
      <c r="N43" t="s">
        <v>31</v>
      </c>
      <c r="O43" t="s">
        <v>31</v>
      </c>
      <c r="P43" t="s">
        <v>25</v>
      </c>
      <c r="Q43">
        <v>29110</v>
      </c>
    </row>
    <row r="44" spans="1:21" x14ac:dyDescent="0.35">
      <c r="A44" t="s">
        <v>60</v>
      </c>
      <c r="B44">
        <v>7</v>
      </c>
      <c r="C44" t="s">
        <v>59</v>
      </c>
      <c r="D44" t="s">
        <v>16</v>
      </c>
      <c r="E44" t="s">
        <v>17</v>
      </c>
      <c r="F44" t="s">
        <v>18</v>
      </c>
      <c r="G44" t="s">
        <v>54</v>
      </c>
      <c r="H44" t="s">
        <v>55</v>
      </c>
      <c r="I44" t="s">
        <v>21</v>
      </c>
      <c r="J44" t="s">
        <v>22</v>
      </c>
      <c r="K44" t="s">
        <v>26</v>
      </c>
      <c r="L44">
        <v>1</v>
      </c>
      <c r="M44">
        <v>1</v>
      </c>
      <c r="N44" t="s">
        <v>32</v>
      </c>
      <c r="O44" t="s">
        <v>32</v>
      </c>
      <c r="P44" t="s">
        <v>25</v>
      </c>
      <c r="Q44">
        <v>7259</v>
      </c>
    </row>
    <row r="45" spans="1:21" x14ac:dyDescent="0.35">
      <c r="A45" t="s">
        <v>60</v>
      </c>
      <c r="B45">
        <v>8</v>
      </c>
      <c r="C45" t="s">
        <v>59</v>
      </c>
      <c r="D45" t="s">
        <v>16</v>
      </c>
      <c r="E45" t="s">
        <v>17</v>
      </c>
      <c r="F45" t="s">
        <v>18</v>
      </c>
      <c r="G45" t="s">
        <v>54</v>
      </c>
      <c r="H45" t="s">
        <v>55</v>
      </c>
      <c r="I45" t="s">
        <v>21</v>
      </c>
      <c r="J45" t="s">
        <v>22</v>
      </c>
      <c r="K45" t="s">
        <v>26</v>
      </c>
      <c r="L45">
        <v>1</v>
      </c>
      <c r="M45">
        <v>1</v>
      </c>
      <c r="N45" t="s">
        <v>33</v>
      </c>
      <c r="O45" t="s">
        <v>33</v>
      </c>
      <c r="P45" t="s">
        <v>25</v>
      </c>
      <c r="Q45">
        <v>9624</v>
      </c>
    </row>
    <row r="46" spans="1:21" x14ac:dyDescent="0.35">
      <c r="A46" t="s">
        <v>60</v>
      </c>
      <c r="B46">
        <v>9</v>
      </c>
      <c r="C46" t="s">
        <v>59</v>
      </c>
      <c r="D46" t="s">
        <v>16</v>
      </c>
      <c r="E46" t="s">
        <v>17</v>
      </c>
      <c r="F46" t="s">
        <v>18</v>
      </c>
      <c r="G46" t="s">
        <v>54</v>
      </c>
      <c r="H46" t="s">
        <v>55</v>
      </c>
      <c r="I46" t="s">
        <v>21</v>
      </c>
      <c r="J46" t="s">
        <v>22</v>
      </c>
      <c r="K46" t="s">
        <v>23</v>
      </c>
      <c r="L46">
        <v>1</v>
      </c>
      <c r="M46">
        <v>1</v>
      </c>
      <c r="N46" t="s">
        <v>34</v>
      </c>
      <c r="O46" t="s">
        <v>34</v>
      </c>
      <c r="P46" t="s">
        <v>25</v>
      </c>
      <c r="Q46">
        <v>9823</v>
      </c>
    </row>
    <row r="47" spans="1:21" x14ac:dyDescent="0.35">
      <c r="A47" t="s">
        <v>60</v>
      </c>
      <c r="B47">
        <v>10</v>
      </c>
      <c r="C47" t="s">
        <v>59</v>
      </c>
      <c r="D47" t="s">
        <v>16</v>
      </c>
      <c r="E47" t="s">
        <v>17</v>
      </c>
      <c r="F47" t="s">
        <v>18</v>
      </c>
      <c r="G47" t="s">
        <v>54</v>
      </c>
      <c r="H47" t="s">
        <v>55</v>
      </c>
      <c r="I47" t="s">
        <v>21</v>
      </c>
      <c r="J47" t="s">
        <v>22</v>
      </c>
      <c r="K47" t="s">
        <v>23</v>
      </c>
      <c r="L47">
        <v>5</v>
      </c>
      <c r="M47">
        <v>1</v>
      </c>
      <c r="N47" t="s">
        <v>35</v>
      </c>
      <c r="O47" t="s">
        <v>35</v>
      </c>
      <c r="P47" t="s">
        <v>25</v>
      </c>
      <c r="Q47">
        <v>38589</v>
      </c>
    </row>
    <row r="48" spans="1:21" x14ac:dyDescent="0.35">
      <c r="A48" t="s">
        <v>60</v>
      </c>
      <c r="B48">
        <v>11</v>
      </c>
      <c r="C48" t="s">
        <v>59</v>
      </c>
      <c r="D48" t="s">
        <v>16</v>
      </c>
      <c r="E48" t="s">
        <v>17</v>
      </c>
      <c r="F48" t="s">
        <v>18</v>
      </c>
      <c r="G48" t="s">
        <v>54</v>
      </c>
      <c r="H48" t="s">
        <v>55</v>
      </c>
      <c r="I48" t="s">
        <v>21</v>
      </c>
      <c r="J48" t="s">
        <v>22</v>
      </c>
      <c r="K48" t="s">
        <v>26</v>
      </c>
      <c r="L48">
        <v>3</v>
      </c>
      <c r="M48">
        <v>1</v>
      </c>
      <c r="N48" t="s">
        <v>36</v>
      </c>
      <c r="O48" t="s">
        <v>36</v>
      </c>
      <c r="P48" t="s">
        <v>25</v>
      </c>
      <c r="Q48">
        <v>13172</v>
      </c>
    </row>
    <row r="49" spans="1:21" x14ac:dyDescent="0.35">
      <c r="A49" t="s">
        <v>60</v>
      </c>
      <c r="B49">
        <v>12</v>
      </c>
      <c r="C49" t="s">
        <v>59</v>
      </c>
      <c r="D49" t="s">
        <v>16</v>
      </c>
      <c r="E49" t="s">
        <v>17</v>
      </c>
      <c r="F49" t="s">
        <v>18</v>
      </c>
      <c r="G49" t="s">
        <v>54</v>
      </c>
      <c r="H49" t="s">
        <v>55</v>
      </c>
      <c r="I49" t="s">
        <v>21</v>
      </c>
      <c r="J49" t="s">
        <v>22</v>
      </c>
      <c r="K49" t="s">
        <v>23</v>
      </c>
      <c r="L49">
        <v>3</v>
      </c>
      <c r="M49">
        <v>1</v>
      </c>
      <c r="N49" t="s">
        <v>37</v>
      </c>
      <c r="O49" t="s">
        <v>37</v>
      </c>
      <c r="P49" t="s">
        <v>25</v>
      </c>
      <c r="Q49">
        <v>20566</v>
      </c>
    </row>
    <row r="50" spans="1:21" x14ac:dyDescent="0.35">
      <c r="A50" t="s">
        <v>62</v>
      </c>
      <c r="B50">
        <v>1</v>
      </c>
      <c r="C50" t="s">
        <v>15</v>
      </c>
      <c r="D50" t="s">
        <v>16</v>
      </c>
      <c r="E50" t="s">
        <v>17</v>
      </c>
      <c r="F50" t="s">
        <v>53</v>
      </c>
      <c r="G50" t="s">
        <v>72</v>
      </c>
      <c r="H50" t="s">
        <v>20</v>
      </c>
      <c r="I50" t="s">
        <v>21</v>
      </c>
      <c r="J50" t="s">
        <v>41</v>
      </c>
      <c r="K50" t="s">
        <v>23</v>
      </c>
      <c r="L50">
        <v>5</v>
      </c>
      <c r="M50">
        <v>1</v>
      </c>
      <c r="N50" t="s">
        <v>24</v>
      </c>
      <c r="O50" t="s">
        <v>24</v>
      </c>
      <c r="P50" t="s">
        <v>25</v>
      </c>
      <c r="Q50">
        <v>44620</v>
      </c>
      <c r="T50">
        <f>SUM(Q50:Q61)</f>
        <v>269877</v>
      </c>
      <c r="U50">
        <f>T50/1000/60</f>
        <v>4.4979500000000003</v>
      </c>
    </row>
    <row r="51" spans="1:21" x14ac:dyDescent="0.35">
      <c r="A51" t="s">
        <v>62</v>
      </c>
      <c r="B51">
        <v>2</v>
      </c>
      <c r="C51" t="s">
        <v>15</v>
      </c>
      <c r="D51" t="s">
        <v>16</v>
      </c>
      <c r="E51" t="s">
        <v>17</v>
      </c>
      <c r="F51" t="s">
        <v>53</v>
      </c>
      <c r="G51" t="s">
        <v>72</v>
      </c>
      <c r="H51" t="s">
        <v>20</v>
      </c>
      <c r="I51" t="s">
        <v>21</v>
      </c>
      <c r="J51" t="s">
        <v>41</v>
      </c>
      <c r="K51" t="s">
        <v>26</v>
      </c>
      <c r="L51">
        <v>5</v>
      </c>
      <c r="M51">
        <v>1</v>
      </c>
      <c r="N51" t="s">
        <v>27</v>
      </c>
      <c r="O51" t="s">
        <v>57</v>
      </c>
      <c r="P51" t="s">
        <v>43</v>
      </c>
      <c r="Q51">
        <v>32145</v>
      </c>
    </row>
    <row r="52" spans="1:21" x14ac:dyDescent="0.35">
      <c r="A52" t="s">
        <v>62</v>
      </c>
      <c r="B52">
        <v>3</v>
      </c>
      <c r="C52" t="s">
        <v>15</v>
      </c>
      <c r="D52" t="s">
        <v>16</v>
      </c>
      <c r="E52" t="s">
        <v>17</v>
      </c>
      <c r="F52" t="s">
        <v>53</v>
      </c>
      <c r="G52" t="s">
        <v>72</v>
      </c>
      <c r="H52" t="s">
        <v>20</v>
      </c>
      <c r="I52" t="s">
        <v>21</v>
      </c>
      <c r="J52" t="s">
        <v>41</v>
      </c>
      <c r="K52" t="s">
        <v>26</v>
      </c>
      <c r="L52">
        <v>3</v>
      </c>
      <c r="M52">
        <v>1</v>
      </c>
      <c r="N52" t="s">
        <v>28</v>
      </c>
      <c r="O52" t="s">
        <v>28</v>
      </c>
      <c r="P52" t="s">
        <v>25</v>
      </c>
      <c r="Q52">
        <v>15315</v>
      </c>
    </row>
    <row r="53" spans="1:21" x14ac:dyDescent="0.35">
      <c r="A53" t="s">
        <v>62</v>
      </c>
      <c r="B53">
        <v>4</v>
      </c>
      <c r="C53" t="s">
        <v>15</v>
      </c>
      <c r="D53" t="s">
        <v>16</v>
      </c>
      <c r="E53" t="s">
        <v>17</v>
      </c>
      <c r="F53" t="s">
        <v>53</v>
      </c>
      <c r="G53" t="s">
        <v>72</v>
      </c>
      <c r="H53" t="s">
        <v>20</v>
      </c>
      <c r="I53" t="s">
        <v>21</v>
      </c>
      <c r="J53" t="s">
        <v>41</v>
      </c>
      <c r="K53" t="s">
        <v>23</v>
      </c>
      <c r="L53">
        <v>1</v>
      </c>
      <c r="M53">
        <v>1</v>
      </c>
      <c r="N53" t="s">
        <v>29</v>
      </c>
      <c r="O53" t="s">
        <v>29</v>
      </c>
      <c r="P53" t="s">
        <v>25</v>
      </c>
      <c r="Q53">
        <v>14093</v>
      </c>
    </row>
    <row r="54" spans="1:21" x14ac:dyDescent="0.35">
      <c r="A54" t="s">
        <v>62</v>
      </c>
      <c r="B54">
        <v>5</v>
      </c>
      <c r="C54" t="s">
        <v>15</v>
      </c>
      <c r="D54" t="s">
        <v>16</v>
      </c>
      <c r="E54" t="s">
        <v>17</v>
      </c>
      <c r="F54" t="s">
        <v>53</v>
      </c>
      <c r="G54" t="s">
        <v>72</v>
      </c>
      <c r="H54" t="s">
        <v>20</v>
      </c>
      <c r="I54" t="s">
        <v>21</v>
      </c>
      <c r="J54" t="s">
        <v>41</v>
      </c>
      <c r="K54" t="s">
        <v>26</v>
      </c>
      <c r="L54">
        <v>5</v>
      </c>
      <c r="M54">
        <v>1</v>
      </c>
      <c r="N54" t="s">
        <v>30</v>
      </c>
      <c r="O54" t="s">
        <v>30</v>
      </c>
      <c r="P54" t="s">
        <v>25</v>
      </c>
      <c r="Q54">
        <v>21425</v>
      </c>
    </row>
    <row r="55" spans="1:21" x14ac:dyDescent="0.35">
      <c r="A55" t="s">
        <v>62</v>
      </c>
      <c r="B55">
        <v>6</v>
      </c>
      <c r="C55" t="s">
        <v>15</v>
      </c>
      <c r="D55" t="s">
        <v>16</v>
      </c>
      <c r="E55" t="s">
        <v>17</v>
      </c>
      <c r="F55" t="s">
        <v>53</v>
      </c>
      <c r="G55" t="s">
        <v>72</v>
      </c>
      <c r="H55" t="s">
        <v>20</v>
      </c>
      <c r="I55" t="s">
        <v>21</v>
      </c>
      <c r="J55" t="s">
        <v>41</v>
      </c>
      <c r="K55" t="s">
        <v>23</v>
      </c>
      <c r="L55">
        <v>3</v>
      </c>
      <c r="M55">
        <v>1</v>
      </c>
      <c r="N55" t="s">
        <v>31</v>
      </c>
      <c r="O55" t="s">
        <v>31</v>
      </c>
      <c r="P55" t="s">
        <v>25</v>
      </c>
      <c r="Q55">
        <v>23111</v>
      </c>
    </row>
    <row r="56" spans="1:21" x14ac:dyDescent="0.35">
      <c r="A56" t="s">
        <v>62</v>
      </c>
      <c r="B56">
        <v>7</v>
      </c>
      <c r="C56" t="s">
        <v>15</v>
      </c>
      <c r="D56" t="s">
        <v>16</v>
      </c>
      <c r="E56" t="s">
        <v>17</v>
      </c>
      <c r="F56" t="s">
        <v>53</v>
      </c>
      <c r="G56" t="s">
        <v>72</v>
      </c>
      <c r="H56" t="s">
        <v>20</v>
      </c>
      <c r="I56" t="s">
        <v>21</v>
      </c>
      <c r="J56" t="s">
        <v>41</v>
      </c>
      <c r="K56" t="s">
        <v>26</v>
      </c>
      <c r="L56">
        <v>1</v>
      </c>
      <c r="M56">
        <v>1</v>
      </c>
      <c r="N56" t="s">
        <v>32</v>
      </c>
      <c r="O56" t="s">
        <v>32</v>
      </c>
      <c r="P56" t="s">
        <v>25</v>
      </c>
      <c r="Q56">
        <v>7466</v>
      </c>
    </row>
    <row r="57" spans="1:21" x14ac:dyDescent="0.35">
      <c r="A57" t="s">
        <v>62</v>
      </c>
      <c r="B57">
        <v>8</v>
      </c>
      <c r="C57" t="s">
        <v>15</v>
      </c>
      <c r="D57" t="s">
        <v>16</v>
      </c>
      <c r="E57" t="s">
        <v>17</v>
      </c>
      <c r="F57" t="s">
        <v>53</v>
      </c>
      <c r="G57" t="s">
        <v>72</v>
      </c>
      <c r="H57" t="s">
        <v>20</v>
      </c>
      <c r="I57" t="s">
        <v>21</v>
      </c>
      <c r="J57" t="s">
        <v>41</v>
      </c>
      <c r="K57" t="s">
        <v>26</v>
      </c>
      <c r="L57">
        <v>1</v>
      </c>
      <c r="M57">
        <v>1</v>
      </c>
      <c r="N57" t="s">
        <v>33</v>
      </c>
      <c r="O57" t="s">
        <v>33</v>
      </c>
      <c r="P57" t="s">
        <v>25</v>
      </c>
      <c r="Q57">
        <v>7812</v>
      </c>
    </row>
    <row r="58" spans="1:21" x14ac:dyDescent="0.35">
      <c r="A58" t="s">
        <v>62</v>
      </c>
      <c r="B58">
        <v>9</v>
      </c>
      <c r="C58" t="s">
        <v>15</v>
      </c>
      <c r="D58" t="s">
        <v>16</v>
      </c>
      <c r="E58" t="s">
        <v>17</v>
      </c>
      <c r="F58" t="s">
        <v>53</v>
      </c>
      <c r="G58" t="s">
        <v>72</v>
      </c>
      <c r="H58" t="s">
        <v>20</v>
      </c>
      <c r="I58" t="s">
        <v>21</v>
      </c>
      <c r="J58" t="s">
        <v>41</v>
      </c>
      <c r="K58" t="s">
        <v>23</v>
      </c>
      <c r="L58">
        <v>1</v>
      </c>
      <c r="M58">
        <v>1</v>
      </c>
      <c r="N58" t="s">
        <v>34</v>
      </c>
      <c r="O58" t="s">
        <v>34</v>
      </c>
      <c r="P58" t="s">
        <v>25</v>
      </c>
      <c r="Q58">
        <v>13796</v>
      </c>
    </row>
    <row r="59" spans="1:21" x14ac:dyDescent="0.35">
      <c r="A59" t="s">
        <v>62</v>
      </c>
      <c r="B59">
        <v>10</v>
      </c>
      <c r="C59" t="s">
        <v>15</v>
      </c>
      <c r="D59" t="s">
        <v>16</v>
      </c>
      <c r="E59" t="s">
        <v>17</v>
      </c>
      <c r="F59" t="s">
        <v>53</v>
      </c>
      <c r="G59" t="s">
        <v>72</v>
      </c>
      <c r="H59" t="s">
        <v>20</v>
      </c>
      <c r="I59" t="s">
        <v>21</v>
      </c>
      <c r="J59" t="s">
        <v>41</v>
      </c>
      <c r="K59" t="s">
        <v>23</v>
      </c>
      <c r="L59">
        <v>5</v>
      </c>
      <c r="M59">
        <v>1</v>
      </c>
      <c r="N59" t="s">
        <v>35</v>
      </c>
      <c r="O59" t="s">
        <v>73</v>
      </c>
      <c r="P59" t="s">
        <v>43</v>
      </c>
      <c r="Q59">
        <v>50411</v>
      </c>
    </row>
    <row r="60" spans="1:21" x14ac:dyDescent="0.35">
      <c r="A60" t="s">
        <v>62</v>
      </c>
      <c r="B60">
        <v>11</v>
      </c>
      <c r="C60" t="s">
        <v>15</v>
      </c>
      <c r="D60" t="s">
        <v>16</v>
      </c>
      <c r="E60" t="s">
        <v>17</v>
      </c>
      <c r="F60" t="s">
        <v>53</v>
      </c>
      <c r="G60" t="s">
        <v>72</v>
      </c>
      <c r="H60" t="s">
        <v>20</v>
      </c>
      <c r="I60" t="s">
        <v>21</v>
      </c>
      <c r="J60" t="s">
        <v>41</v>
      </c>
      <c r="K60" t="s">
        <v>26</v>
      </c>
      <c r="L60">
        <v>3</v>
      </c>
      <c r="M60">
        <v>1</v>
      </c>
      <c r="N60" t="s">
        <v>36</v>
      </c>
      <c r="O60" t="s">
        <v>36</v>
      </c>
      <c r="P60" t="s">
        <v>25</v>
      </c>
      <c r="Q60">
        <v>14758</v>
      </c>
    </row>
    <row r="61" spans="1:21" x14ac:dyDescent="0.35">
      <c r="A61" t="s">
        <v>62</v>
      </c>
      <c r="B61">
        <v>12</v>
      </c>
      <c r="C61" t="s">
        <v>15</v>
      </c>
      <c r="D61" t="s">
        <v>16</v>
      </c>
      <c r="E61" t="s">
        <v>17</v>
      </c>
      <c r="F61" t="s">
        <v>53</v>
      </c>
      <c r="G61" t="s">
        <v>72</v>
      </c>
      <c r="H61" t="s">
        <v>20</v>
      </c>
      <c r="I61" t="s">
        <v>21</v>
      </c>
      <c r="J61" t="s">
        <v>41</v>
      </c>
      <c r="K61" t="s">
        <v>23</v>
      </c>
      <c r="L61">
        <v>3</v>
      </c>
      <c r="M61">
        <v>1</v>
      </c>
      <c r="N61" t="s">
        <v>37</v>
      </c>
      <c r="O61" t="s">
        <v>37</v>
      </c>
      <c r="P61" t="s">
        <v>25</v>
      </c>
      <c r="Q61">
        <v>24925</v>
      </c>
    </row>
    <row r="62" spans="1:21" x14ac:dyDescent="0.35">
      <c r="A62" t="s">
        <v>63</v>
      </c>
      <c r="B62">
        <v>1</v>
      </c>
      <c r="C62" t="s">
        <v>52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56</v>
      </c>
      <c r="J62" t="s">
        <v>61</v>
      </c>
      <c r="K62" t="s">
        <v>23</v>
      </c>
      <c r="L62">
        <v>5</v>
      </c>
      <c r="M62">
        <v>1</v>
      </c>
      <c r="N62" t="s">
        <v>24</v>
      </c>
      <c r="O62" t="s">
        <v>24</v>
      </c>
      <c r="P62" t="s">
        <v>25</v>
      </c>
      <c r="Q62">
        <v>42882</v>
      </c>
      <c r="T62">
        <f>SUM(Q62:Q73)</f>
        <v>208256</v>
      </c>
      <c r="U62">
        <f>T62/1000/60</f>
        <v>3.4709333333333334</v>
      </c>
    </row>
    <row r="63" spans="1:21" x14ac:dyDescent="0.35">
      <c r="A63" t="s">
        <v>63</v>
      </c>
      <c r="B63">
        <v>2</v>
      </c>
      <c r="C63" t="s">
        <v>52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56</v>
      </c>
      <c r="J63" t="s">
        <v>61</v>
      </c>
      <c r="K63" t="s">
        <v>26</v>
      </c>
      <c r="L63">
        <v>5</v>
      </c>
      <c r="M63">
        <v>1</v>
      </c>
      <c r="N63" t="s">
        <v>27</v>
      </c>
      <c r="O63" t="s">
        <v>27</v>
      </c>
      <c r="P63" t="s">
        <v>25</v>
      </c>
      <c r="Q63">
        <v>15187</v>
      </c>
    </row>
    <row r="64" spans="1:21" x14ac:dyDescent="0.35">
      <c r="A64" t="s">
        <v>63</v>
      </c>
      <c r="B64">
        <v>3</v>
      </c>
      <c r="C64" t="s">
        <v>52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56</v>
      </c>
      <c r="J64" t="s">
        <v>61</v>
      </c>
      <c r="K64" t="s">
        <v>26</v>
      </c>
      <c r="L64">
        <v>3</v>
      </c>
      <c r="M64">
        <v>1</v>
      </c>
      <c r="N64" t="s">
        <v>28</v>
      </c>
      <c r="O64" t="s">
        <v>28</v>
      </c>
      <c r="P64" t="s">
        <v>25</v>
      </c>
      <c r="Q64">
        <v>10230</v>
      </c>
    </row>
    <row r="65" spans="1:21" x14ac:dyDescent="0.35">
      <c r="A65" t="s">
        <v>63</v>
      </c>
      <c r="B65">
        <v>4</v>
      </c>
      <c r="C65" t="s">
        <v>52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56</v>
      </c>
      <c r="J65" t="s">
        <v>61</v>
      </c>
      <c r="K65" t="s">
        <v>23</v>
      </c>
      <c r="L65">
        <v>1</v>
      </c>
      <c r="M65">
        <v>1</v>
      </c>
      <c r="N65" t="s">
        <v>29</v>
      </c>
      <c r="O65" t="s">
        <v>29</v>
      </c>
      <c r="P65" t="s">
        <v>25</v>
      </c>
      <c r="Q65">
        <v>17766</v>
      </c>
    </row>
    <row r="66" spans="1:21" x14ac:dyDescent="0.35">
      <c r="A66" t="s">
        <v>63</v>
      </c>
      <c r="B66">
        <v>5</v>
      </c>
      <c r="C66" t="s">
        <v>52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56</v>
      </c>
      <c r="J66" t="s">
        <v>61</v>
      </c>
      <c r="K66" t="s">
        <v>26</v>
      </c>
      <c r="L66">
        <v>5</v>
      </c>
      <c r="M66">
        <v>1</v>
      </c>
      <c r="N66" t="s">
        <v>30</v>
      </c>
      <c r="O66" t="s">
        <v>30</v>
      </c>
      <c r="P66" t="s">
        <v>25</v>
      </c>
      <c r="Q66">
        <v>12479</v>
      </c>
    </row>
    <row r="67" spans="1:21" x14ac:dyDescent="0.35">
      <c r="A67" t="s">
        <v>63</v>
      </c>
      <c r="B67">
        <v>6</v>
      </c>
      <c r="C67" t="s">
        <v>52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56</v>
      </c>
      <c r="J67" t="s">
        <v>61</v>
      </c>
      <c r="K67" t="s">
        <v>23</v>
      </c>
      <c r="L67">
        <v>3</v>
      </c>
      <c r="M67">
        <v>1</v>
      </c>
      <c r="N67" t="s">
        <v>31</v>
      </c>
      <c r="O67" t="s">
        <v>31</v>
      </c>
      <c r="P67" t="s">
        <v>25</v>
      </c>
      <c r="Q67">
        <v>20917</v>
      </c>
    </row>
    <row r="68" spans="1:21" x14ac:dyDescent="0.35">
      <c r="A68" t="s">
        <v>63</v>
      </c>
      <c r="B68">
        <v>7</v>
      </c>
      <c r="C68" t="s">
        <v>52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56</v>
      </c>
      <c r="J68" t="s">
        <v>61</v>
      </c>
      <c r="K68" t="s">
        <v>26</v>
      </c>
      <c r="L68">
        <v>1</v>
      </c>
      <c r="M68">
        <v>1</v>
      </c>
      <c r="N68" t="s">
        <v>32</v>
      </c>
      <c r="O68" t="s">
        <v>32</v>
      </c>
      <c r="P68" t="s">
        <v>25</v>
      </c>
      <c r="Q68">
        <v>7545</v>
      </c>
    </row>
    <row r="69" spans="1:21" x14ac:dyDescent="0.35">
      <c r="A69" t="s">
        <v>63</v>
      </c>
      <c r="B69">
        <v>8</v>
      </c>
      <c r="C69" t="s">
        <v>52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56</v>
      </c>
      <c r="J69" t="s">
        <v>61</v>
      </c>
      <c r="K69" t="s">
        <v>26</v>
      </c>
      <c r="L69">
        <v>1</v>
      </c>
      <c r="M69">
        <v>1</v>
      </c>
      <c r="N69" t="s">
        <v>33</v>
      </c>
      <c r="O69" t="s">
        <v>33</v>
      </c>
      <c r="P69" t="s">
        <v>25</v>
      </c>
      <c r="Q69">
        <v>3907</v>
      </c>
    </row>
    <row r="70" spans="1:21" x14ac:dyDescent="0.35">
      <c r="A70" t="s">
        <v>63</v>
      </c>
      <c r="B70">
        <v>9</v>
      </c>
      <c r="C70" t="s">
        <v>52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56</v>
      </c>
      <c r="J70" t="s">
        <v>61</v>
      </c>
      <c r="K70" t="s">
        <v>23</v>
      </c>
      <c r="L70">
        <v>1</v>
      </c>
      <c r="M70">
        <v>1</v>
      </c>
      <c r="N70" t="s">
        <v>34</v>
      </c>
      <c r="O70" t="s">
        <v>34</v>
      </c>
      <c r="P70" t="s">
        <v>25</v>
      </c>
      <c r="Q70">
        <v>7366</v>
      </c>
    </row>
    <row r="71" spans="1:21" x14ac:dyDescent="0.35">
      <c r="A71" t="s">
        <v>63</v>
      </c>
      <c r="B71">
        <v>10</v>
      </c>
      <c r="C71" t="s">
        <v>52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56</v>
      </c>
      <c r="J71" t="s">
        <v>61</v>
      </c>
      <c r="K71" t="s">
        <v>23</v>
      </c>
      <c r="L71">
        <v>5</v>
      </c>
      <c r="M71">
        <v>1</v>
      </c>
      <c r="N71" t="s">
        <v>35</v>
      </c>
      <c r="O71" t="s">
        <v>35</v>
      </c>
      <c r="P71" t="s">
        <v>25</v>
      </c>
      <c r="Q71">
        <v>40591</v>
      </c>
    </row>
    <row r="72" spans="1:21" x14ac:dyDescent="0.35">
      <c r="A72" t="s">
        <v>63</v>
      </c>
      <c r="B72">
        <v>11</v>
      </c>
      <c r="C72" t="s">
        <v>52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56</v>
      </c>
      <c r="J72" t="s">
        <v>61</v>
      </c>
      <c r="K72" t="s">
        <v>26</v>
      </c>
      <c r="L72">
        <v>3</v>
      </c>
      <c r="M72">
        <v>1</v>
      </c>
      <c r="N72" t="s">
        <v>36</v>
      </c>
      <c r="O72" t="s">
        <v>36</v>
      </c>
      <c r="P72" t="s">
        <v>25</v>
      </c>
      <c r="Q72">
        <v>8689</v>
      </c>
    </row>
    <row r="73" spans="1:21" x14ac:dyDescent="0.35">
      <c r="A73" t="s">
        <v>63</v>
      </c>
      <c r="B73">
        <v>12</v>
      </c>
      <c r="C73" t="s">
        <v>52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56</v>
      </c>
      <c r="J73" t="s">
        <v>61</v>
      </c>
      <c r="K73" t="s">
        <v>23</v>
      </c>
      <c r="L73">
        <v>3</v>
      </c>
      <c r="M73">
        <v>1</v>
      </c>
      <c r="N73" t="s">
        <v>37</v>
      </c>
      <c r="O73" t="s">
        <v>37</v>
      </c>
      <c r="P73" t="s">
        <v>25</v>
      </c>
      <c r="Q73">
        <v>20697</v>
      </c>
    </row>
    <row r="74" spans="1:21" x14ac:dyDescent="0.35">
      <c r="A74" t="s">
        <v>71</v>
      </c>
      <c r="B74">
        <v>1</v>
      </c>
      <c r="C74" t="s">
        <v>15</v>
      </c>
      <c r="D74" t="s">
        <v>16</v>
      </c>
      <c r="E74" t="s">
        <v>17</v>
      </c>
      <c r="F74" t="s">
        <v>53</v>
      </c>
      <c r="G74" t="s">
        <v>54</v>
      </c>
      <c r="H74" t="s">
        <v>20</v>
      </c>
      <c r="I74" t="s">
        <v>21</v>
      </c>
      <c r="J74" t="s">
        <v>41</v>
      </c>
      <c r="K74" t="s">
        <v>23</v>
      </c>
      <c r="L74">
        <v>5</v>
      </c>
      <c r="M74">
        <v>1</v>
      </c>
      <c r="N74" t="s">
        <v>24</v>
      </c>
      <c r="O74" t="s">
        <v>24</v>
      </c>
      <c r="P74" t="s">
        <v>25</v>
      </c>
      <c r="Q74">
        <v>56011</v>
      </c>
      <c r="T74">
        <f>SUM(Q74:Q85)</f>
        <v>204742</v>
      </c>
      <c r="U74">
        <f>T74/1000/60</f>
        <v>3.4123666666666663</v>
      </c>
    </row>
    <row r="75" spans="1:21" x14ac:dyDescent="0.35">
      <c r="A75" t="s">
        <v>71</v>
      </c>
      <c r="B75">
        <v>2</v>
      </c>
      <c r="C75" t="s">
        <v>15</v>
      </c>
      <c r="D75" t="s">
        <v>16</v>
      </c>
      <c r="E75" t="s">
        <v>17</v>
      </c>
      <c r="F75" t="s">
        <v>53</v>
      </c>
      <c r="G75" t="s">
        <v>54</v>
      </c>
      <c r="H75" t="s">
        <v>20</v>
      </c>
      <c r="I75" t="s">
        <v>21</v>
      </c>
      <c r="J75" t="s">
        <v>41</v>
      </c>
      <c r="K75" t="s">
        <v>26</v>
      </c>
      <c r="L75">
        <v>5</v>
      </c>
      <c r="M75">
        <v>1</v>
      </c>
      <c r="N75" t="s">
        <v>27</v>
      </c>
      <c r="O75" t="s">
        <v>27</v>
      </c>
      <c r="P75" t="s">
        <v>25</v>
      </c>
      <c r="Q75">
        <v>10390</v>
      </c>
    </row>
    <row r="76" spans="1:21" x14ac:dyDescent="0.35">
      <c r="A76" t="s">
        <v>71</v>
      </c>
      <c r="B76">
        <v>3</v>
      </c>
      <c r="C76" t="s">
        <v>15</v>
      </c>
      <c r="D76" t="s">
        <v>16</v>
      </c>
      <c r="E76" t="s">
        <v>17</v>
      </c>
      <c r="F76" t="s">
        <v>53</v>
      </c>
      <c r="G76" t="s">
        <v>54</v>
      </c>
      <c r="H76" t="s">
        <v>20</v>
      </c>
      <c r="I76" t="s">
        <v>21</v>
      </c>
      <c r="J76" t="s">
        <v>41</v>
      </c>
      <c r="K76" t="s">
        <v>26</v>
      </c>
      <c r="L76">
        <v>3</v>
      </c>
      <c r="M76">
        <v>1</v>
      </c>
      <c r="N76" t="s">
        <v>28</v>
      </c>
      <c r="O76" t="s">
        <v>28</v>
      </c>
      <c r="P76" t="s">
        <v>25</v>
      </c>
      <c r="Q76">
        <v>8480</v>
      </c>
    </row>
    <row r="77" spans="1:21" x14ac:dyDescent="0.35">
      <c r="A77" t="s">
        <v>71</v>
      </c>
      <c r="B77">
        <v>4</v>
      </c>
      <c r="C77" t="s">
        <v>15</v>
      </c>
      <c r="D77" t="s">
        <v>16</v>
      </c>
      <c r="E77" t="s">
        <v>17</v>
      </c>
      <c r="F77" t="s">
        <v>53</v>
      </c>
      <c r="G77" t="s">
        <v>54</v>
      </c>
      <c r="H77" t="s">
        <v>20</v>
      </c>
      <c r="I77" t="s">
        <v>21</v>
      </c>
      <c r="J77" t="s">
        <v>41</v>
      </c>
      <c r="K77" t="s">
        <v>23</v>
      </c>
      <c r="L77">
        <v>1</v>
      </c>
      <c r="M77">
        <v>1</v>
      </c>
      <c r="N77" t="s">
        <v>29</v>
      </c>
      <c r="O77" t="s">
        <v>29</v>
      </c>
      <c r="P77" t="s">
        <v>25</v>
      </c>
      <c r="Q77">
        <v>9388</v>
      </c>
    </row>
    <row r="78" spans="1:21" x14ac:dyDescent="0.35">
      <c r="A78" t="s">
        <v>71</v>
      </c>
      <c r="B78">
        <v>5</v>
      </c>
      <c r="C78" t="s">
        <v>15</v>
      </c>
      <c r="D78" t="s">
        <v>16</v>
      </c>
      <c r="E78" t="s">
        <v>17</v>
      </c>
      <c r="F78" t="s">
        <v>53</v>
      </c>
      <c r="G78" t="s">
        <v>54</v>
      </c>
      <c r="H78" t="s">
        <v>20</v>
      </c>
      <c r="I78" t="s">
        <v>21</v>
      </c>
      <c r="J78" t="s">
        <v>41</v>
      </c>
      <c r="K78" t="s">
        <v>26</v>
      </c>
      <c r="L78">
        <v>5</v>
      </c>
      <c r="M78">
        <v>1</v>
      </c>
      <c r="N78" t="s">
        <v>30</v>
      </c>
      <c r="O78" t="s">
        <v>30</v>
      </c>
      <c r="P78" t="s">
        <v>25</v>
      </c>
      <c r="Q78">
        <v>10417</v>
      </c>
    </row>
    <row r="79" spans="1:21" x14ac:dyDescent="0.35">
      <c r="A79" t="s">
        <v>71</v>
      </c>
      <c r="B79">
        <v>6</v>
      </c>
      <c r="C79" t="s">
        <v>15</v>
      </c>
      <c r="D79" t="s">
        <v>16</v>
      </c>
      <c r="E79" t="s">
        <v>17</v>
      </c>
      <c r="F79" t="s">
        <v>53</v>
      </c>
      <c r="G79" t="s">
        <v>54</v>
      </c>
      <c r="H79" t="s">
        <v>20</v>
      </c>
      <c r="I79" t="s">
        <v>21</v>
      </c>
      <c r="J79" t="s">
        <v>41</v>
      </c>
      <c r="K79" t="s">
        <v>23</v>
      </c>
      <c r="L79">
        <v>3</v>
      </c>
      <c r="M79">
        <v>1</v>
      </c>
      <c r="N79" t="s">
        <v>31</v>
      </c>
      <c r="O79" t="s">
        <v>31</v>
      </c>
      <c r="P79" t="s">
        <v>25</v>
      </c>
      <c r="Q79">
        <v>23127</v>
      </c>
    </row>
    <row r="80" spans="1:21" x14ac:dyDescent="0.35">
      <c r="A80" t="s">
        <v>71</v>
      </c>
      <c r="B80">
        <v>7</v>
      </c>
      <c r="C80" t="s">
        <v>15</v>
      </c>
      <c r="D80" t="s">
        <v>16</v>
      </c>
      <c r="E80" t="s">
        <v>17</v>
      </c>
      <c r="F80" t="s">
        <v>53</v>
      </c>
      <c r="G80" t="s">
        <v>54</v>
      </c>
      <c r="H80" t="s">
        <v>20</v>
      </c>
      <c r="I80" t="s">
        <v>21</v>
      </c>
      <c r="J80" t="s">
        <v>41</v>
      </c>
      <c r="K80" t="s">
        <v>26</v>
      </c>
      <c r="L80">
        <v>1</v>
      </c>
      <c r="M80">
        <v>1</v>
      </c>
      <c r="N80" t="s">
        <v>32</v>
      </c>
      <c r="O80" t="s">
        <v>32</v>
      </c>
      <c r="P80" t="s">
        <v>25</v>
      </c>
      <c r="Q80">
        <v>4372</v>
      </c>
    </row>
    <row r="81" spans="1:21" x14ac:dyDescent="0.35">
      <c r="A81" t="s">
        <v>71</v>
      </c>
      <c r="B81">
        <v>8</v>
      </c>
      <c r="C81" t="s">
        <v>15</v>
      </c>
      <c r="D81" t="s">
        <v>16</v>
      </c>
      <c r="E81" t="s">
        <v>17</v>
      </c>
      <c r="F81" t="s">
        <v>53</v>
      </c>
      <c r="G81" t="s">
        <v>54</v>
      </c>
      <c r="H81" t="s">
        <v>20</v>
      </c>
      <c r="I81" t="s">
        <v>21</v>
      </c>
      <c r="J81" t="s">
        <v>41</v>
      </c>
      <c r="K81" t="s">
        <v>26</v>
      </c>
      <c r="L81">
        <v>1</v>
      </c>
      <c r="M81">
        <v>1</v>
      </c>
      <c r="N81" t="s">
        <v>33</v>
      </c>
      <c r="O81" t="s">
        <v>33</v>
      </c>
      <c r="P81" t="s">
        <v>25</v>
      </c>
      <c r="Q81">
        <v>4226</v>
      </c>
    </row>
    <row r="82" spans="1:21" x14ac:dyDescent="0.35">
      <c r="A82" t="s">
        <v>71</v>
      </c>
      <c r="B82">
        <v>9</v>
      </c>
      <c r="C82" t="s">
        <v>15</v>
      </c>
      <c r="D82" t="s">
        <v>16</v>
      </c>
      <c r="E82" t="s">
        <v>17</v>
      </c>
      <c r="F82" t="s">
        <v>53</v>
      </c>
      <c r="G82" t="s">
        <v>54</v>
      </c>
      <c r="H82" t="s">
        <v>20</v>
      </c>
      <c r="I82" t="s">
        <v>21</v>
      </c>
      <c r="J82" t="s">
        <v>41</v>
      </c>
      <c r="K82" t="s">
        <v>23</v>
      </c>
      <c r="L82">
        <v>1</v>
      </c>
      <c r="M82">
        <v>1</v>
      </c>
      <c r="N82" t="s">
        <v>34</v>
      </c>
      <c r="O82" t="s">
        <v>34</v>
      </c>
      <c r="P82" t="s">
        <v>25</v>
      </c>
      <c r="Q82">
        <v>7737</v>
      </c>
    </row>
    <row r="83" spans="1:21" x14ac:dyDescent="0.35">
      <c r="A83" t="s">
        <v>71</v>
      </c>
      <c r="B83">
        <v>10</v>
      </c>
      <c r="C83" t="s">
        <v>15</v>
      </c>
      <c r="D83" t="s">
        <v>16</v>
      </c>
      <c r="E83" t="s">
        <v>17</v>
      </c>
      <c r="F83" t="s">
        <v>53</v>
      </c>
      <c r="G83" t="s">
        <v>54</v>
      </c>
      <c r="H83" t="s">
        <v>20</v>
      </c>
      <c r="I83" t="s">
        <v>21</v>
      </c>
      <c r="J83" t="s">
        <v>41</v>
      </c>
      <c r="K83" t="s">
        <v>23</v>
      </c>
      <c r="L83">
        <v>5</v>
      </c>
      <c r="M83">
        <v>1</v>
      </c>
      <c r="N83" t="s">
        <v>35</v>
      </c>
      <c r="O83" t="s">
        <v>35</v>
      </c>
      <c r="P83" t="s">
        <v>25</v>
      </c>
      <c r="Q83">
        <v>40757</v>
      </c>
    </row>
    <row r="84" spans="1:21" x14ac:dyDescent="0.35">
      <c r="A84" t="s">
        <v>71</v>
      </c>
      <c r="B84">
        <v>11</v>
      </c>
      <c r="C84" t="s">
        <v>15</v>
      </c>
      <c r="D84" t="s">
        <v>16</v>
      </c>
      <c r="E84" t="s">
        <v>17</v>
      </c>
      <c r="F84" t="s">
        <v>53</v>
      </c>
      <c r="G84" t="s">
        <v>54</v>
      </c>
      <c r="H84" t="s">
        <v>20</v>
      </c>
      <c r="I84" t="s">
        <v>21</v>
      </c>
      <c r="J84" t="s">
        <v>41</v>
      </c>
      <c r="K84" t="s">
        <v>26</v>
      </c>
      <c r="L84">
        <v>3</v>
      </c>
      <c r="M84">
        <v>1</v>
      </c>
      <c r="N84" t="s">
        <v>36</v>
      </c>
      <c r="O84" t="s">
        <v>36</v>
      </c>
      <c r="P84" t="s">
        <v>25</v>
      </c>
      <c r="Q84">
        <v>6869</v>
      </c>
    </row>
    <row r="85" spans="1:21" x14ac:dyDescent="0.35">
      <c r="A85" t="s">
        <v>71</v>
      </c>
      <c r="B85">
        <v>12</v>
      </c>
      <c r="C85" t="s">
        <v>15</v>
      </c>
      <c r="D85" t="s">
        <v>16</v>
      </c>
      <c r="E85" t="s">
        <v>17</v>
      </c>
      <c r="F85" t="s">
        <v>53</v>
      </c>
      <c r="G85" t="s">
        <v>54</v>
      </c>
      <c r="H85" t="s">
        <v>20</v>
      </c>
      <c r="I85" t="s">
        <v>21</v>
      </c>
      <c r="J85" t="s">
        <v>41</v>
      </c>
      <c r="K85" t="s">
        <v>23</v>
      </c>
      <c r="L85">
        <v>3</v>
      </c>
      <c r="M85">
        <v>1</v>
      </c>
      <c r="N85" t="s">
        <v>37</v>
      </c>
      <c r="O85" t="s">
        <v>37</v>
      </c>
      <c r="P85" t="s">
        <v>25</v>
      </c>
      <c r="Q85">
        <v>22968</v>
      </c>
    </row>
    <row r="86" spans="1:21" x14ac:dyDescent="0.35">
      <c r="A86" t="s">
        <v>69</v>
      </c>
      <c r="B86">
        <v>1</v>
      </c>
      <c r="C86" t="s">
        <v>40</v>
      </c>
      <c r="D86" t="s">
        <v>64</v>
      </c>
      <c r="E86" t="s">
        <v>65</v>
      </c>
      <c r="F86" t="s">
        <v>53</v>
      </c>
      <c r="G86" t="s">
        <v>54</v>
      </c>
      <c r="H86" t="s">
        <v>20</v>
      </c>
      <c r="I86" t="s">
        <v>66</v>
      </c>
      <c r="J86" t="s">
        <v>41</v>
      </c>
      <c r="K86" t="s">
        <v>23</v>
      </c>
      <c r="L86">
        <v>5</v>
      </c>
      <c r="M86">
        <v>1</v>
      </c>
      <c r="N86" t="s">
        <v>24</v>
      </c>
      <c r="O86" t="s">
        <v>42</v>
      </c>
      <c r="P86" t="s">
        <v>43</v>
      </c>
      <c r="Q86">
        <v>51288</v>
      </c>
      <c r="T86">
        <f>SUM(Q86:Q97)</f>
        <v>260396</v>
      </c>
      <c r="U86">
        <f>T86/1000/60</f>
        <v>4.3399333333333336</v>
      </c>
    </row>
    <row r="87" spans="1:21" x14ac:dyDescent="0.35">
      <c r="A87" t="s">
        <v>69</v>
      </c>
      <c r="B87">
        <v>2</v>
      </c>
      <c r="C87" t="s">
        <v>40</v>
      </c>
      <c r="D87" t="s">
        <v>64</v>
      </c>
      <c r="E87" t="s">
        <v>65</v>
      </c>
      <c r="F87" t="s">
        <v>53</v>
      </c>
      <c r="G87" t="s">
        <v>54</v>
      </c>
      <c r="H87" t="s">
        <v>20</v>
      </c>
      <c r="I87" t="s">
        <v>66</v>
      </c>
      <c r="J87" t="s">
        <v>41</v>
      </c>
      <c r="K87" t="s">
        <v>26</v>
      </c>
      <c r="L87">
        <v>5</v>
      </c>
      <c r="M87">
        <v>1</v>
      </c>
      <c r="N87" t="s">
        <v>27</v>
      </c>
      <c r="O87" t="s">
        <v>67</v>
      </c>
      <c r="P87" t="s">
        <v>43</v>
      </c>
      <c r="Q87">
        <v>27488</v>
      </c>
    </row>
    <row r="88" spans="1:21" x14ac:dyDescent="0.35">
      <c r="A88" t="s">
        <v>69</v>
      </c>
      <c r="B88">
        <v>3</v>
      </c>
      <c r="C88" t="s">
        <v>40</v>
      </c>
      <c r="D88" t="s">
        <v>64</v>
      </c>
      <c r="E88" t="s">
        <v>65</v>
      </c>
      <c r="F88" t="s">
        <v>53</v>
      </c>
      <c r="G88" t="s">
        <v>54</v>
      </c>
      <c r="H88" t="s">
        <v>20</v>
      </c>
      <c r="I88" t="s">
        <v>66</v>
      </c>
      <c r="J88" t="s">
        <v>41</v>
      </c>
      <c r="K88" t="s">
        <v>26</v>
      </c>
      <c r="L88">
        <v>3</v>
      </c>
      <c r="M88">
        <v>2</v>
      </c>
      <c r="N88" t="s">
        <v>28</v>
      </c>
      <c r="O88" t="s">
        <v>28</v>
      </c>
      <c r="P88" t="s">
        <v>25</v>
      </c>
      <c r="Q88">
        <v>20079</v>
      </c>
    </row>
    <row r="89" spans="1:21" x14ac:dyDescent="0.35">
      <c r="A89" t="s">
        <v>69</v>
      </c>
      <c r="B89">
        <v>4</v>
      </c>
      <c r="C89" t="s">
        <v>40</v>
      </c>
      <c r="D89" t="s">
        <v>64</v>
      </c>
      <c r="E89" t="s">
        <v>65</v>
      </c>
      <c r="F89" t="s">
        <v>53</v>
      </c>
      <c r="G89" t="s">
        <v>54</v>
      </c>
      <c r="H89" t="s">
        <v>20</v>
      </c>
      <c r="I89" t="s">
        <v>66</v>
      </c>
      <c r="J89" t="s">
        <v>41</v>
      </c>
      <c r="K89" t="s">
        <v>23</v>
      </c>
      <c r="L89">
        <v>1</v>
      </c>
      <c r="M89">
        <v>1</v>
      </c>
      <c r="N89" t="s">
        <v>29</v>
      </c>
      <c r="O89" t="s">
        <v>29</v>
      </c>
      <c r="P89" t="s">
        <v>25</v>
      </c>
      <c r="Q89">
        <v>9871</v>
      </c>
    </row>
    <row r="90" spans="1:21" x14ac:dyDescent="0.35">
      <c r="A90" t="s">
        <v>69</v>
      </c>
      <c r="B90">
        <v>5</v>
      </c>
      <c r="C90" t="s">
        <v>40</v>
      </c>
      <c r="D90" t="s">
        <v>64</v>
      </c>
      <c r="E90" t="s">
        <v>65</v>
      </c>
      <c r="F90" t="s">
        <v>53</v>
      </c>
      <c r="G90" t="s">
        <v>54</v>
      </c>
      <c r="H90" t="s">
        <v>20</v>
      </c>
      <c r="I90" t="s">
        <v>66</v>
      </c>
      <c r="J90" t="s">
        <v>41</v>
      </c>
      <c r="K90" t="s">
        <v>26</v>
      </c>
      <c r="L90">
        <v>5</v>
      </c>
      <c r="M90">
        <v>1</v>
      </c>
      <c r="N90" t="s">
        <v>30</v>
      </c>
      <c r="O90" t="s">
        <v>30</v>
      </c>
      <c r="P90" t="s">
        <v>25</v>
      </c>
      <c r="Q90">
        <v>23167</v>
      </c>
    </row>
    <row r="91" spans="1:21" x14ac:dyDescent="0.35">
      <c r="A91" t="s">
        <v>69</v>
      </c>
      <c r="B91">
        <v>6</v>
      </c>
      <c r="C91" t="s">
        <v>40</v>
      </c>
      <c r="D91" t="s">
        <v>64</v>
      </c>
      <c r="E91" t="s">
        <v>65</v>
      </c>
      <c r="F91" t="s">
        <v>53</v>
      </c>
      <c r="G91" t="s">
        <v>54</v>
      </c>
      <c r="H91" t="s">
        <v>20</v>
      </c>
      <c r="I91" t="s">
        <v>66</v>
      </c>
      <c r="J91" t="s">
        <v>41</v>
      </c>
      <c r="K91" t="s">
        <v>23</v>
      </c>
      <c r="L91">
        <v>3</v>
      </c>
      <c r="M91">
        <v>1</v>
      </c>
      <c r="N91" t="s">
        <v>31</v>
      </c>
      <c r="O91" t="s">
        <v>47</v>
      </c>
      <c r="P91" t="s">
        <v>43</v>
      </c>
      <c r="Q91">
        <v>23504</v>
      </c>
    </row>
    <row r="92" spans="1:21" x14ac:dyDescent="0.35">
      <c r="A92" t="s">
        <v>69</v>
      </c>
      <c r="B92">
        <v>7</v>
      </c>
      <c r="C92" t="s">
        <v>40</v>
      </c>
      <c r="D92" t="s">
        <v>64</v>
      </c>
      <c r="E92" t="s">
        <v>65</v>
      </c>
      <c r="F92" t="s">
        <v>53</v>
      </c>
      <c r="G92" t="s">
        <v>54</v>
      </c>
      <c r="H92" t="s">
        <v>20</v>
      </c>
      <c r="I92" t="s">
        <v>66</v>
      </c>
      <c r="J92" t="s">
        <v>41</v>
      </c>
      <c r="K92" t="s">
        <v>26</v>
      </c>
      <c r="L92">
        <v>1</v>
      </c>
      <c r="M92">
        <v>1</v>
      </c>
      <c r="N92" t="s">
        <v>32</v>
      </c>
      <c r="O92" t="s">
        <v>32</v>
      </c>
      <c r="P92" t="s">
        <v>25</v>
      </c>
      <c r="Q92">
        <v>8416</v>
      </c>
    </row>
    <row r="93" spans="1:21" x14ac:dyDescent="0.35">
      <c r="A93" t="s">
        <v>69</v>
      </c>
      <c r="B93">
        <v>8</v>
      </c>
      <c r="C93" t="s">
        <v>40</v>
      </c>
      <c r="D93" t="s">
        <v>64</v>
      </c>
      <c r="E93" t="s">
        <v>65</v>
      </c>
      <c r="F93" t="s">
        <v>53</v>
      </c>
      <c r="G93" t="s">
        <v>54</v>
      </c>
      <c r="H93" t="s">
        <v>20</v>
      </c>
      <c r="I93" t="s">
        <v>66</v>
      </c>
      <c r="J93" t="s">
        <v>41</v>
      </c>
      <c r="K93" t="s">
        <v>26</v>
      </c>
      <c r="L93">
        <v>1</v>
      </c>
      <c r="M93">
        <v>1</v>
      </c>
      <c r="N93" t="s">
        <v>33</v>
      </c>
      <c r="O93" t="s">
        <v>33</v>
      </c>
      <c r="P93" t="s">
        <v>25</v>
      </c>
      <c r="Q93">
        <v>6631</v>
      </c>
    </row>
    <row r="94" spans="1:21" x14ac:dyDescent="0.35">
      <c r="A94" t="s">
        <v>69</v>
      </c>
      <c r="B94">
        <v>9</v>
      </c>
      <c r="C94" t="s">
        <v>40</v>
      </c>
      <c r="D94" t="s">
        <v>64</v>
      </c>
      <c r="E94" t="s">
        <v>65</v>
      </c>
      <c r="F94" t="s">
        <v>53</v>
      </c>
      <c r="G94" t="s">
        <v>54</v>
      </c>
      <c r="H94" t="s">
        <v>20</v>
      </c>
      <c r="I94" t="s">
        <v>66</v>
      </c>
      <c r="J94" t="s">
        <v>41</v>
      </c>
      <c r="K94" t="s">
        <v>23</v>
      </c>
      <c r="L94">
        <v>1</v>
      </c>
      <c r="M94">
        <v>1</v>
      </c>
      <c r="N94" t="s">
        <v>34</v>
      </c>
      <c r="O94" t="s">
        <v>34</v>
      </c>
      <c r="P94" t="s">
        <v>25</v>
      </c>
      <c r="Q94">
        <v>8279</v>
      </c>
    </row>
    <row r="95" spans="1:21" x14ac:dyDescent="0.35">
      <c r="A95" t="s">
        <v>69</v>
      </c>
      <c r="B95">
        <v>10</v>
      </c>
      <c r="C95" t="s">
        <v>40</v>
      </c>
      <c r="D95" t="s">
        <v>64</v>
      </c>
      <c r="E95" t="s">
        <v>65</v>
      </c>
      <c r="F95" t="s">
        <v>53</v>
      </c>
      <c r="G95" t="s">
        <v>54</v>
      </c>
      <c r="H95" t="s">
        <v>20</v>
      </c>
      <c r="I95" t="s">
        <v>66</v>
      </c>
      <c r="J95" t="s">
        <v>41</v>
      </c>
      <c r="K95" t="s">
        <v>23</v>
      </c>
      <c r="L95">
        <v>5</v>
      </c>
      <c r="M95">
        <v>1</v>
      </c>
      <c r="N95" t="s">
        <v>35</v>
      </c>
      <c r="O95" t="s">
        <v>35</v>
      </c>
      <c r="P95" t="s">
        <v>25</v>
      </c>
      <c r="Q95">
        <v>38359</v>
      </c>
    </row>
    <row r="96" spans="1:21" x14ac:dyDescent="0.35">
      <c r="A96" t="s">
        <v>69</v>
      </c>
      <c r="B96">
        <v>11</v>
      </c>
      <c r="C96" t="s">
        <v>40</v>
      </c>
      <c r="D96" t="s">
        <v>64</v>
      </c>
      <c r="E96" t="s">
        <v>65</v>
      </c>
      <c r="F96" t="s">
        <v>53</v>
      </c>
      <c r="G96" t="s">
        <v>54</v>
      </c>
      <c r="H96" t="s">
        <v>20</v>
      </c>
      <c r="I96" t="s">
        <v>66</v>
      </c>
      <c r="J96" t="s">
        <v>41</v>
      </c>
      <c r="K96" t="s">
        <v>26</v>
      </c>
      <c r="L96">
        <v>3</v>
      </c>
      <c r="M96">
        <v>1</v>
      </c>
      <c r="N96" t="s">
        <v>36</v>
      </c>
      <c r="O96" t="s">
        <v>36</v>
      </c>
      <c r="P96" t="s">
        <v>25</v>
      </c>
      <c r="Q96">
        <v>17193</v>
      </c>
    </row>
    <row r="97" spans="1:21" x14ac:dyDescent="0.35">
      <c r="A97" t="s">
        <v>69</v>
      </c>
      <c r="B97">
        <v>12</v>
      </c>
      <c r="C97" t="s">
        <v>40</v>
      </c>
      <c r="D97" t="s">
        <v>64</v>
      </c>
      <c r="E97" t="s">
        <v>65</v>
      </c>
      <c r="F97" t="s">
        <v>53</v>
      </c>
      <c r="G97" t="s">
        <v>54</v>
      </c>
      <c r="H97" t="s">
        <v>20</v>
      </c>
      <c r="I97" t="s">
        <v>66</v>
      </c>
      <c r="J97" t="s">
        <v>41</v>
      </c>
      <c r="K97" t="s">
        <v>23</v>
      </c>
      <c r="L97">
        <v>3</v>
      </c>
      <c r="M97">
        <v>1</v>
      </c>
      <c r="N97" t="s">
        <v>37</v>
      </c>
      <c r="O97" t="s">
        <v>37</v>
      </c>
      <c r="P97" t="s">
        <v>25</v>
      </c>
      <c r="Q97">
        <v>26121</v>
      </c>
    </row>
    <row r="98" spans="1:21" x14ac:dyDescent="0.35">
      <c r="A98" t="s">
        <v>70</v>
      </c>
      <c r="B98">
        <v>1</v>
      </c>
      <c r="C98" t="s">
        <v>52</v>
      </c>
      <c r="D98" t="s">
        <v>64</v>
      </c>
      <c r="E98" t="s">
        <v>65</v>
      </c>
      <c r="F98" t="s">
        <v>53</v>
      </c>
      <c r="G98" t="s">
        <v>68</v>
      </c>
      <c r="H98" t="s">
        <v>20</v>
      </c>
      <c r="I98" t="s">
        <v>21</v>
      </c>
      <c r="J98" t="s">
        <v>41</v>
      </c>
      <c r="K98" t="s">
        <v>23</v>
      </c>
      <c r="L98">
        <v>5</v>
      </c>
      <c r="M98">
        <v>1</v>
      </c>
      <c r="N98" t="s">
        <v>24</v>
      </c>
      <c r="O98" t="s">
        <v>24</v>
      </c>
      <c r="P98" t="s">
        <v>25</v>
      </c>
      <c r="Q98">
        <v>281987</v>
      </c>
      <c r="T98">
        <f>SUM(Q98:Q109)</f>
        <v>711782</v>
      </c>
      <c r="U98">
        <f>T98/1000/60</f>
        <v>11.863033333333334</v>
      </c>
    </row>
    <row r="99" spans="1:21" x14ac:dyDescent="0.35">
      <c r="A99" t="s">
        <v>70</v>
      </c>
      <c r="B99">
        <v>2</v>
      </c>
      <c r="C99" t="s">
        <v>52</v>
      </c>
      <c r="D99" t="s">
        <v>64</v>
      </c>
      <c r="E99" t="s">
        <v>65</v>
      </c>
      <c r="F99" t="s">
        <v>53</v>
      </c>
      <c r="G99" t="s">
        <v>68</v>
      </c>
      <c r="H99" t="s">
        <v>20</v>
      </c>
      <c r="I99" t="s">
        <v>21</v>
      </c>
      <c r="J99" t="s">
        <v>41</v>
      </c>
      <c r="K99" t="s">
        <v>26</v>
      </c>
      <c r="L99">
        <v>5</v>
      </c>
      <c r="M99">
        <v>1</v>
      </c>
      <c r="N99" t="s">
        <v>27</v>
      </c>
      <c r="O99" t="s">
        <v>27</v>
      </c>
      <c r="P99" t="s">
        <v>25</v>
      </c>
      <c r="Q99">
        <v>44213</v>
      </c>
    </row>
    <row r="100" spans="1:21" x14ac:dyDescent="0.35">
      <c r="A100" t="s">
        <v>70</v>
      </c>
      <c r="B100">
        <v>3</v>
      </c>
      <c r="C100" t="s">
        <v>52</v>
      </c>
      <c r="D100" t="s">
        <v>64</v>
      </c>
      <c r="E100" t="s">
        <v>65</v>
      </c>
      <c r="F100" t="s">
        <v>53</v>
      </c>
      <c r="G100" t="s">
        <v>68</v>
      </c>
      <c r="H100" t="s">
        <v>20</v>
      </c>
      <c r="I100" t="s">
        <v>21</v>
      </c>
      <c r="J100" t="s">
        <v>41</v>
      </c>
      <c r="K100" t="s">
        <v>26</v>
      </c>
      <c r="L100">
        <v>3</v>
      </c>
      <c r="M100">
        <v>2</v>
      </c>
      <c r="N100" t="s">
        <v>28</v>
      </c>
      <c r="O100" t="s">
        <v>28</v>
      </c>
      <c r="P100" t="s">
        <v>25</v>
      </c>
      <c r="Q100">
        <v>20949</v>
      </c>
    </row>
    <row r="101" spans="1:21" x14ac:dyDescent="0.35">
      <c r="A101" t="s">
        <v>70</v>
      </c>
      <c r="B101">
        <v>4</v>
      </c>
      <c r="C101" t="s">
        <v>52</v>
      </c>
      <c r="D101" t="s">
        <v>64</v>
      </c>
      <c r="E101" t="s">
        <v>65</v>
      </c>
      <c r="F101" t="s">
        <v>53</v>
      </c>
      <c r="G101" t="s">
        <v>68</v>
      </c>
      <c r="H101" t="s">
        <v>20</v>
      </c>
      <c r="I101" t="s">
        <v>21</v>
      </c>
      <c r="J101" t="s">
        <v>41</v>
      </c>
      <c r="K101" t="s">
        <v>23</v>
      </c>
      <c r="L101">
        <v>1</v>
      </c>
      <c r="M101">
        <v>1</v>
      </c>
      <c r="N101" t="s">
        <v>29</v>
      </c>
      <c r="O101" t="s">
        <v>29</v>
      </c>
      <c r="P101" t="s">
        <v>25</v>
      </c>
      <c r="Q101">
        <v>29642</v>
      </c>
    </row>
    <row r="102" spans="1:21" x14ac:dyDescent="0.35">
      <c r="A102" t="s">
        <v>70</v>
      </c>
      <c r="B102">
        <v>5</v>
      </c>
      <c r="C102" t="s">
        <v>52</v>
      </c>
      <c r="D102" t="s">
        <v>64</v>
      </c>
      <c r="E102" t="s">
        <v>65</v>
      </c>
      <c r="F102" t="s">
        <v>53</v>
      </c>
      <c r="G102" t="s">
        <v>68</v>
      </c>
      <c r="H102" t="s">
        <v>20</v>
      </c>
      <c r="I102" t="s">
        <v>21</v>
      </c>
      <c r="J102" t="s">
        <v>41</v>
      </c>
      <c r="K102" t="s">
        <v>26</v>
      </c>
      <c r="L102">
        <v>5</v>
      </c>
      <c r="M102">
        <v>1</v>
      </c>
      <c r="N102" t="s">
        <v>30</v>
      </c>
      <c r="O102" t="s">
        <v>30</v>
      </c>
      <c r="P102" t="s">
        <v>25</v>
      </c>
      <c r="Q102">
        <v>24901</v>
      </c>
    </row>
    <row r="103" spans="1:21" x14ac:dyDescent="0.35">
      <c r="A103" t="s">
        <v>70</v>
      </c>
      <c r="B103">
        <v>6</v>
      </c>
      <c r="C103" t="s">
        <v>52</v>
      </c>
      <c r="D103" t="s">
        <v>64</v>
      </c>
      <c r="E103" t="s">
        <v>65</v>
      </c>
      <c r="F103" t="s">
        <v>53</v>
      </c>
      <c r="G103" t="s">
        <v>68</v>
      </c>
      <c r="H103" t="s">
        <v>20</v>
      </c>
      <c r="I103" t="s">
        <v>21</v>
      </c>
      <c r="J103" t="s">
        <v>41</v>
      </c>
      <c r="K103" t="s">
        <v>23</v>
      </c>
      <c r="L103">
        <v>3</v>
      </c>
      <c r="M103">
        <v>1</v>
      </c>
      <c r="N103" t="s">
        <v>31</v>
      </c>
      <c r="O103" t="s">
        <v>31</v>
      </c>
      <c r="P103" t="s">
        <v>25</v>
      </c>
      <c r="Q103">
        <v>83220</v>
      </c>
    </row>
    <row r="104" spans="1:21" x14ac:dyDescent="0.35">
      <c r="A104" t="s">
        <v>70</v>
      </c>
      <c r="B104">
        <v>7</v>
      </c>
      <c r="C104" t="s">
        <v>52</v>
      </c>
      <c r="D104" t="s">
        <v>64</v>
      </c>
      <c r="E104" t="s">
        <v>65</v>
      </c>
      <c r="F104" t="s">
        <v>53</v>
      </c>
      <c r="G104" t="s">
        <v>68</v>
      </c>
      <c r="H104" t="s">
        <v>20</v>
      </c>
      <c r="I104" t="s">
        <v>21</v>
      </c>
      <c r="J104" t="s">
        <v>41</v>
      </c>
      <c r="K104" t="s">
        <v>26</v>
      </c>
      <c r="L104">
        <v>1</v>
      </c>
      <c r="M104">
        <v>1</v>
      </c>
      <c r="N104" t="s">
        <v>32</v>
      </c>
      <c r="O104" t="s">
        <v>32</v>
      </c>
      <c r="P104" t="s">
        <v>25</v>
      </c>
      <c r="Q104">
        <v>7740</v>
      </c>
    </row>
    <row r="105" spans="1:21" x14ac:dyDescent="0.35">
      <c r="A105" t="s">
        <v>70</v>
      </c>
      <c r="B105">
        <v>8</v>
      </c>
      <c r="C105" t="s">
        <v>52</v>
      </c>
      <c r="D105" t="s">
        <v>64</v>
      </c>
      <c r="E105" t="s">
        <v>65</v>
      </c>
      <c r="F105" t="s">
        <v>53</v>
      </c>
      <c r="G105" t="s">
        <v>68</v>
      </c>
      <c r="H105" t="s">
        <v>20</v>
      </c>
      <c r="I105" t="s">
        <v>21</v>
      </c>
      <c r="J105" t="s">
        <v>41</v>
      </c>
      <c r="K105" t="s">
        <v>26</v>
      </c>
      <c r="L105">
        <v>1</v>
      </c>
      <c r="M105">
        <v>1</v>
      </c>
      <c r="N105" t="s">
        <v>33</v>
      </c>
      <c r="O105" t="s">
        <v>33</v>
      </c>
      <c r="P105" t="s">
        <v>25</v>
      </c>
      <c r="Q105">
        <v>8888</v>
      </c>
    </row>
    <row r="106" spans="1:21" x14ac:dyDescent="0.35">
      <c r="A106" t="s">
        <v>70</v>
      </c>
      <c r="B106">
        <v>9</v>
      </c>
      <c r="C106" t="s">
        <v>52</v>
      </c>
      <c r="D106" t="s">
        <v>64</v>
      </c>
      <c r="E106" t="s">
        <v>65</v>
      </c>
      <c r="F106" t="s">
        <v>53</v>
      </c>
      <c r="G106" t="s">
        <v>68</v>
      </c>
      <c r="H106" t="s">
        <v>20</v>
      </c>
      <c r="I106" t="s">
        <v>21</v>
      </c>
      <c r="J106" t="s">
        <v>41</v>
      </c>
      <c r="K106" t="s">
        <v>23</v>
      </c>
      <c r="L106">
        <v>1</v>
      </c>
      <c r="M106">
        <v>2</v>
      </c>
      <c r="N106" t="s">
        <v>34</v>
      </c>
      <c r="O106" t="s">
        <v>34</v>
      </c>
      <c r="P106" t="s">
        <v>25</v>
      </c>
      <c r="Q106">
        <v>127093</v>
      </c>
    </row>
    <row r="107" spans="1:21" x14ac:dyDescent="0.35">
      <c r="A107" t="s">
        <v>70</v>
      </c>
      <c r="B107">
        <v>10</v>
      </c>
      <c r="C107" t="s">
        <v>52</v>
      </c>
      <c r="D107" t="s">
        <v>64</v>
      </c>
      <c r="E107" t="s">
        <v>65</v>
      </c>
      <c r="F107" t="s">
        <v>53</v>
      </c>
      <c r="G107" t="s">
        <v>68</v>
      </c>
      <c r="H107" t="s">
        <v>20</v>
      </c>
      <c r="I107" t="s">
        <v>21</v>
      </c>
      <c r="J107" t="s">
        <v>41</v>
      </c>
      <c r="K107" t="s">
        <v>23</v>
      </c>
      <c r="L107">
        <v>5</v>
      </c>
      <c r="M107">
        <v>1</v>
      </c>
      <c r="N107" t="s">
        <v>35</v>
      </c>
      <c r="O107" t="s">
        <v>35</v>
      </c>
      <c r="P107" t="s">
        <v>25</v>
      </c>
      <c r="Q107">
        <v>50670</v>
      </c>
    </row>
    <row r="108" spans="1:21" x14ac:dyDescent="0.35">
      <c r="A108" t="s">
        <v>70</v>
      </c>
      <c r="B108">
        <v>11</v>
      </c>
      <c r="C108" t="s">
        <v>52</v>
      </c>
      <c r="D108" t="s">
        <v>64</v>
      </c>
      <c r="E108" t="s">
        <v>65</v>
      </c>
      <c r="F108" t="s">
        <v>53</v>
      </c>
      <c r="G108" t="s">
        <v>68</v>
      </c>
      <c r="H108" t="s">
        <v>20</v>
      </c>
      <c r="I108" t="s">
        <v>21</v>
      </c>
      <c r="J108" t="s">
        <v>41</v>
      </c>
      <c r="K108" t="s">
        <v>26</v>
      </c>
      <c r="L108">
        <v>3</v>
      </c>
      <c r="M108">
        <v>1</v>
      </c>
      <c r="N108" t="s">
        <v>36</v>
      </c>
      <c r="O108" t="s">
        <v>36</v>
      </c>
      <c r="P108" t="s">
        <v>25</v>
      </c>
      <c r="Q108">
        <v>12060</v>
      </c>
    </row>
    <row r="109" spans="1:21" x14ac:dyDescent="0.35">
      <c r="A109" t="s">
        <v>70</v>
      </c>
      <c r="B109">
        <v>12</v>
      </c>
      <c r="C109" t="s">
        <v>52</v>
      </c>
      <c r="D109" t="s">
        <v>64</v>
      </c>
      <c r="E109" t="s">
        <v>65</v>
      </c>
      <c r="F109" t="s">
        <v>53</v>
      </c>
      <c r="G109" t="s">
        <v>68</v>
      </c>
      <c r="H109" t="s">
        <v>20</v>
      </c>
      <c r="I109" t="s">
        <v>21</v>
      </c>
      <c r="J109" t="s">
        <v>41</v>
      </c>
      <c r="K109" t="s">
        <v>23</v>
      </c>
      <c r="L109">
        <v>3</v>
      </c>
      <c r="M109">
        <v>1</v>
      </c>
      <c r="N109" t="s">
        <v>37</v>
      </c>
      <c r="O109" t="s">
        <v>37</v>
      </c>
      <c r="P109" t="s">
        <v>25</v>
      </c>
      <c r="Q109" s="1">
        <v>20419</v>
      </c>
    </row>
    <row r="110" spans="1:21" x14ac:dyDescent="0.35">
      <c r="A110" t="s">
        <v>74</v>
      </c>
      <c r="B110">
        <v>1</v>
      </c>
      <c r="C110" t="s">
        <v>15</v>
      </c>
      <c r="D110" t="s">
        <v>16</v>
      </c>
      <c r="E110" t="s">
        <v>17</v>
      </c>
      <c r="F110" t="s">
        <v>18</v>
      </c>
      <c r="G110" t="s">
        <v>54</v>
      </c>
      <c r="H110" t="s">
        <v>20</v>
      </c>
      <c r="I110" t="s">
        <v>21</v>
      </c>
      <c r="J110" t="s">
        <v>41</v>
      </c>
      <c r="K110" t="s">
        <v>23</v>
      </c>
      <c r="L110">
        <v>5</v>
      </c>
      <c r="M110">
        <v>1</v>
      </c>
      <c r="N110" t="s">
        <v>24</v>
      </c>
      <c r="O110" t="s">
        <v>24</v>
      </c>
      <c r="P110" t="s">
        <v>25</v>
      </c>
      <c r="Q110">
        <v>38639</v>
      </c>
      <c r="T110">
        <f>SUM(Q110:Q121)</f>
        <v>210212</v>
      </c>
      <c r="U110">
        <f>T110/1000/60</f>
        <v>3.5035333333333329</v>
      </c>
    </row>
    <row r="111" spans="1:21" x14ac:dyDescent="0.35">
      <c r="A111" t="s">
        <v>74</v>
      </c>
      <c r="B111">
        <v>2</v>
      </c>
      <c r="C111" t="s">
        <v>15</v>
      </c>
      <c r="D111" t="s">
        <v>16</v>
      </c>
      <c r="E111" t="s">
        <v>17</v>
      </c>
      <c r="F111" t="s">
        <v>18</v>
      </c>
      <c r="G111" t="s">
        <v>54</v>
      </c>
      <c r="H111" t="s">
        <v>20</v>
      </c>
      <c r="I111" t="s">
        <v>21</v>
      </c>
      <c r="J111" t="s">
        <v>41</v>
      </c>
      <c r="K111" t="s">
        <v>26</v>
      </c>
      <c r="L111">
        <v>5</v>
      </c>
      <c r="M111">
        <v>1</v>
      </c>
      <c r="N111" t="s">
        <v>27</v>
      </c>
      <c r="O111" t="s">
        <v>27</v>
      </c>
      <c r="P111" t="s">
        <v>25</v>
      </c>
      <c r="Q111">
        <v>17424</v>
      </c>
    </row>
    <row r="112" spans="1:21" x14ac:dyDescent="0.35">
      <c r="A112" t="s">
        <v>74</v>
      </c>
      <c r="B112">
        <v>3</v>
      </c>
      <c r="C112" t="s">
        <v>15</v>
      </c>
      <c r="D112" t="s">
        <v>16</v>
      </c>
      <c r="E112" t="s">
        <v>17</v>
      </c>
      <c r="F112" t="s">
        <v>18</v>
      </c>
      <c r="G112" t="s">
        <v>54</v>
      </c>
      <c r="H112" t="s">
        <v>20</v>
      </c>
      <c r="I112" t="s">
        <v>21</v>
      </c>
      <c r="J112" t="s">
        <v>41</v>
      </c>
      <c r="K112" t="s">
        <v>26</v>
      </c>
      <c r="L112">
        <v>3</v>
      </c>
      <c r="M112">
        <v>1</v>
      </c>
      <c r="N112" t="s">
        <v>28</v>
      </c>
      <c r="O112" t="s">
        <v>28</v>
      </c>
      <c r="P112" t="s">
        <v>25</v>
      </c>
      <c r="Q112">
        <v>16863</v>
      </c>
    </row>
    <row r="113" spans="1:21" x14ac:dyDescent="0.35">
      <c r="A113" t="s">
        <v>74</v>
      </c>
      <c r="B113">
        <v>4</v>
      </c>
      <c r="C113" t="s">
        <v>15</v>
      </c>
      <c r="D113" t="s">
        <v>16</v>
      </c>
      <c r="E113" t="s">
        <v>17</v>
      </c>
      <c r="F113" t="s">
        <v>18</v>
      </c>
      <c r="G113" t="s">
        <v>54</v>
      </c>
      <c r="H113" t="s">
        <v>20</v>
      </c>
      <c r="I113" t="s">
        <v>21</v>
      </c>
      <c r="J113" t="s">
        <v>41</v>
      </c>
      <c r="K113" t="s">
        <v>23</v>
      </c>
      <c r="L113">
        <v>1</v>
      </c>
      <c r="M113">
        <v>1</v>
      </c>
      <c r="N113" t="s">
        <v>29</v>
      </c>
      <c r="O113" t="s">
        <v>29</v>
      </c>
      <c r="P113" t="s">
        <v>25</v>
      </c>
      <c r="Q113">
        <v>6968</v>
      </c>
    </row>
    <row r="114" spans="1:21" x14ac:dyDescent="0.35">
      <c r="A114" t="s">
        <v>74</v>
      </c>
      <c r="B114">
        <v>5</v>
      </c>
      <c r="C114" t="s">
        <v>15</v>
      </c>
      <c r="D114" t="s">
        <v>16</v>
      </c>
      <c r="E114" t="s">
        <v>17</v>
      </c>
      <c r="F114" t="s">
        <v>18</v>
      </c>
      <c r="G114" t="s">
        <v>54</v>
      </c>
      <c r="H114" t="s">
        <v>20</v>
      </c>
      <c r="I114" t="s">
        <v>21</v>
      </c>
      <c r="J114" t="s">
        <v>41</v>
      </c>
      <c r="K114" t="s">
        <v>26</v>
      </c>
      <c r="L114">
        <v>5</v>
      </c>
      <c r="M114">
        <v>1</v>
      </c>
      <c r="N114" t="s">
        <v>30</v>
      </c>
      <c r="O114" t="s">
        <v>30</v>
      </c>
      <c r="P114" t="s">
        <v>25</v>
      </c>
      <c r="Q114">
        <v>19200</v>
      </c>
    </row>
    <row r="115" spans="1:21" x14ac:dyDescent="0.35">
      <c r="A115" t="s">
        <v>74</v>
      </c>
      <c r="B115">
        <v>6</v>
      </c>
      <c r="C115" t="s">
        <v>15</v>
      </c>
      <c r="D115" t="s">
        <v>16</v>
      </c>
      <c r="E115" t="s">
        <v>17</v>
      </c>
      <c r="F115" t="s">
        <v>18</v>
      </c>
      <c r="G115" t="s">
        <v>54</v>
      </c>
      <c r="H115" t="s">
        <v>20</v>
      </c>
      <c r="I115" t="s">
        <v>21</v>
      </c>
      <c r="J115" t="s">
        <v>41</v>
      </c>
      <c r="K115" t="s">
        <v>23</v>
      </c>
      <c r="L115">
        <v>3</v>
      </c>
      <c r="M115">
        <v>1</v>
      </c>
      <c r="N115" t="s">
        <v>31</v>
      </c>
      <c r="O115" t="s">
        <v>31</v>
      </c>
      <c r="P115" t="s">
        <v>25</v>
      </c>
      <c r="Q115">
        <v>21816</v>
      </c>
    </row>
    <row r="116" spans="1:21" x14ac:dyDescent="0.35">
      <c r="A116" t="s">
        <v>74</v>
      </c>
      <c r="B116">
        <v>7</v>
      </c>
      <c r="C116" t="s">
        <v>15</v>
      </c>
      <c r="D116" t="s">
        <v>16</v>
      </c>
      <c r="E116" t="s">
        <v>17</v>
      </c>
      <c r="F116" t="s">
        <v>18</v>
      </c>
      <c r="G116" t="s">
        <v>54</v>
      </c>
      <c r="H116" t="s">
        <v>20</v>
      </c>
      <c r="I116" t="s">
        <v>21</v>
      </c>
      <c r="J116" t="s">
        <v>41</v>
      </c>
      <c r="K116" t="s">
        <v>26</v>
      </c>
      <c r="L116">
        <v>1</v>
      </c>
      <c r="M116">
        <v>1</v>
      </c>
      <c r="N116" t="s">
        <v>32</v>
      </c>
      <c r="O116" t="s">
        <v>32</v>
      </c>
      <c r="P116" t="s">
        <v>25</v>
      </c>
      <c r="Q116">
        <v>5088</v>
      </c>
    </row>
    <row r="117" spans="1:21" x14ac:dyDescent="0.35">
      <c r="A117" t="s">
        <v>74</v>
      </c>
      <c r="B117">
        <v>8</v>
      </c>
      <c r="C117" t="s">
        <v>15</v>
      </c>
      <c r="D117" t="s">
        <v>16</v>
      </c>
      <c r="E117" t="s">
        <v>17</v>
      </c>
      <c r="F117" t="s">
        <v>18</v>
      </c>
      <c r="G117" t="s">
        <v>54</v>
      </c>
      <c r="H117" t="s">
        <v>20</v>
      </c>
      <c r="I117" t="s">
        <v>21</v>
      </c>
      <c r="J117" t="s">
        <v>41</v>
      </c>
      <c r="K117" t="s">
        <v>26</v>
      </c>
      <c r="L117">
        <v>1</v>
      </c>
      <c r="M117">
        <v>1</v>
      </c>
      <c r="N117" t="s">
        <v>33</v>
      </c>
      <c r="O117" t="s">
        <v>33</v>
      </c>
      <c r="P117" t="s">
        <v>25</v>
      </c>
      <c r="Q117">
        <v>7943</v>
      </c>
    </row>
    <row r="118" spans="1:21" x14ac:dyDescent="0.35">
      <c r="A118" t="s">
        <v>74</v>
      </c>
      <c r="B118">
        <v>9</v>
      </c>
      <c r="C118" t="s">
        <v>15</v>
      </c>
      <c r="D118" t="s">
        <v>16</v>
      </c>
      <c r="E118" t="s">
        <v>17</v>
      </c>
      <c r="F118" t="s">
        <v>18</v>
      </c>
      <c r="G118" t="s">
        <v>54</v>
      </c>
      <c r="H118" t="s">
        <v>20</v>
      </c>
      <c r="I118" t="s">
        <v>21</v>
      </c>
      <c r="J118" t="s">
        <v>41</v>
      </c>
      <c r="K118" t="s">
        <v>23</v>
      </c>
      <c r="L118">
        <v>1</v>
      </c>
      <c r="M118">
        <v>1</v>
      </c>
      <c r="N118" t="s">
        <v>34</v>
      </c>
      <c r="O118" t="s">
        <v>34</v>
      </c>
      <c r="P118" t="s">
        <v>25</v>
      </c>
      <c r="Q118">
        <v>11008</v>
      </c>
    </row>
    <row r="119" spans="1:21" x14ac:dyDescent="0.35">
      <c r="A119" t="s">
        <v>74</v>
      </c>
      <c r="B119">
        <v>10</v>
      </c>
      <c r="C119" t="s">
        <v>15</v>
      </c>
      <c r="D119" t="s">
        <v>16</v>
      </c>
      <c r="E119" t="s">
        <v>17</v>
      </c>
      <c r="F119" t="s">
        <v>18</v>
      </c>
      <c r="G119" t="s">
        <v>54</v>
      </c>
      <c r="H119" t="s">
        <v>20</v>
      </c>
      <c r="I119" t="s">
        <v>21</v>
      </c>
      <c r="J119" t="s">
        <v>41</v>
      </c>
      <c r="K119" t="s">
        <v>23</v>
      </c>
      <c r="L119">
        <v>5</v>
      </c>
      <c r="M119">
        <v>1</v>
      </c>
      <c r="N119" t="s">
        <v>35</v>
      </c>
      <c r="O119" t="s">
        <v>35</v>
      </c>
      <c r="P119" t="s">
        <v>25</v>
      </c>
      <c r="Q119">
        <v>36087</v>
      </c>
    </row>
    <row r="120" spans="1:21" x14ac:dyDescent="0.35">
      <c r="A120" t="s">
        <v>74</v>
      </c>
      <c r="B120">
        <v>11</v>
      </c>
      <c r="C120" t="s">
        <v>15</v>
      </c>
      <c r="D120" t="s">
        <v>16</v>
      </c>
      <c r="E120" t="s">
        <v>17</v>
      </c>
      <c r="F120" t="s">
        <v>18</v>
      </c>
      <c r="G120" t="s">
        <v>54</v>
      </c>
      <c r="H120" t="s">
        <v>20</v>
      </c>
      <c r="I120" t="s">
        <v>21</v>
      </c>
      <c r="J120" t="s">
        <v>41</v>
      </c>
      <c r="K120" t="s">
        <v>26</v>
      </c>
      <c r="L120">
        <v>3</v>
      </c>
      <c r="M120">
        <v>1</v>
      </c>
      <c r="N120" t="s">
        <v>36</v>
      </c>
      <c r="O120" t="s">
        <v>36</v>
      </c>
      <c r="P120" t="s">
        <v>25</v>
      </c>
      <c r="Q120">
        <v>10016</v>
      </c>
    </row>
    <row r="121" spans="1:21" x14ac:dyDescent="0.35">
      <c r="A121" t="s">
        <v>74</v>
      </c>
      <c r="B121">
        <v>12</v>
      </c>
      <c r="C121" t="s">
        <v>15</v>
      </c>
      <c r="D121" t="s">
        <v>16</v>
      </c>
      <c r="E121" t="s">
        <v>17</v>
      </c>
      <c r="F121" t="s">
        <v>18</v>
      </c>
      <c r="G121" t="s">
        <v>54</v>
      </c>
      <c r="H121" t="s">
        <v>20</v>
      </c>
      <c r="I121" t="s">
        <v>21</v>
      </c>
      <c r="J121" t="s">
        <v>41</v>
      </c>
      <c r="K121" t="s">
        <v>23</v>
      </c>
      <c r="L121">
        <v>3</v>
      </c>
      <c r="M121">
        <v>1</v>
      </c>
      <c r="N121" t="s">
        <v>37</v>
      </c>
      <c r="O121" t="s">
        <v>37</v>
      </c>
      <c r="P121" t="s">
        <v>25</v>
      </c>
      <c r="Q121">
        <v>19160</v>
      </c>
    </row>
    <row r="122" spans="1:21" x14ac:dyDescent="0.35">
      <c r="A122" t="s">
        <v>76</v>
      </c>
      <c r="B122">
        <v>1</v>
      </c>
      <c r="C122" t="s">
        <v>15</v>
      </c>
      <c r="D122" t="s">
        <v>16</v>
      </c>
      <c r="E122" t="s">
        <v>17</v>
      </c>
      <c r="F122" t="s">
        <v>18</v>
      </c>
      <c r="G122" t="s">
        <v>72</v>
      </c>
      <c r="H122" t="s">
        <v>20</v>
      </c>
      <c r="I122" t="s">
        <v>21</v>
      </c>
      <c r="J122" t="s">
        <v>22</v>
      </c>
      <c r="K122" t="s">
        <v>23</v>
      </c>
      <c r="L122">
        <v>5</v>
      </c>
      <c r="M122">
        <v>2</v>
      </c>
      <c r="N122" t="s">
        <v>24</v>
      </c>
      <c r="O122" t="s">
        <v>42</v>
      </c>
      <c r="P122" t="s">
        <v>43</v>
      </c>
      <c r="Q122">
        <v>30835</v>
      </c>
      <c r="R122" t="s">
        <v>75</v>
      </c>
      <c r="S122">
        <v>25644</v>
      </c>
      <c r="T122">
        <f>SUM(Q122:Q133)</f>
        <v>149266</v>
      </c>
      <c r="U122">
        <f>T122/1000/60</f>
        <v>2.4877666666666665</v>
      </c>
    </row>
    <row r="123" spans="1:21" x14ac:dyDescent="0.35">
      <c r="A123" t="s">
        <v>76</v>
      </c>
      <c r="B123">
        <v>2</v>
      </c>
      <c r="C123" t="s">
        <v>15</v>
      </c>
      <c r="D123" t="s">
        <v>16</v>
      </c>
      <c r="E123" t="s">
        <v>17</v>
      </c>
      <c r="F123" t="s">
        <v>18</v>
      </c>
      <c r="G123" t="s">
        <v>72</v>
      </c>
      <c r="H123" t="s">
        <v>20</v>
      </c>
      <c r="I123" t="s">
        <v>21</v>
      </c>
      <c r="J123" t="s">
        <v>22</v>
      </c>
      <c r="K123" t="s">
        <v>26</v>
      </c>
      <c r="L123">
        <v>5</v>
      </c>
      <c r="M123">
        <v>1</v>
      </c>
      <c r="N123" t="s">
        <v>27</v>
      </c>
      <c r="O123" t="s">
        <v>44</v>
      </c>
      <c r="P123" t="s">
        <v>43</v>
      </c>
      <c r="Q123">
        <v>10254</v>
      </c>
    </row>
    <row r="124" spans="1:21" x14ac:dyDescent="0.35">
      <c r="A124" t="s">
        <v>76</v>
      </c>
      <c r="B124">
        <v>3</v>
      </c>
      <c r="C124" t="s">
        <v>15</v>
      </c>
      <c r="D124" t="s">
        <v>16</v>
      </c>
      <c r="E124" t="s">
        <v>17</v>
      </c>
      <c r="F124" t="s">
        <v>18</v>
      </c>
      <c r="G124" t="s">
        <v>72</v>
      </c>
      <c r="H124" t="s">
        <v>20</v>
      </c>
      <c r="I124" t="s">
        <v>21</v>
      </c>
      <c r="J124" t="s">
        <v>22</v>
      </c>
      <c r="K124" t="s">
        <v>26</v>
      </c>
      <c r="L124">
        <v>3</v>
      </c>
      <c r="M124">
        <v>1</v>
      </c>
      <c r="N124" t="s">
        <v>28</v>
      </c>
      <c r="O124" t="s">
        <v>45</v>
      </c>
      <c r="P124" t="s">
        <v>43</v>
      </c>
      <c r="Q124">
        <v>7376</v>
      </c>
    </row>
    <row r="125" spans="1:21" x14ac:dyDescent="0.35">
      <c r="A125" t="s">
        <v>76</v>
      </c>
      <c r="B125">
        <v>4</v>
      </c>
      <c r="C125" t="s">
        <v>15</v>
      </c>
      <c r="D125" t="s">
        <v>16</v>
      </c>
      <c r="E125" t="s">
        <v>17</v>
      </c>
      <c r="F125" t="s">
        <v>18</v>
      </c>
      <c r="G125" t="s">
        <v>72</v>
      </c>
      <c r="H125" t="s">
        <v>20</v>
      </c>
      <c r="I125" t="s">
        <v>21</v>
      </c>
      <c r="J125" t="s">
        <v>22</v>
      </c>
      <c r="K125" t="s">
        <v>23</v>
      </c>
      <c r="L125">
        <v>1</v>
      </c>
      <c r="M125">
        <v>1</v>
      </c>
      <c r="N125" t="s">
        <v>29</v>
      </c>
      <c r="O125" t="s">
        <v>29</v>
      </c>
      <c r="P125" t="s">
        <v>25</v>
      </c>
      <c r="Q125">
        <v>7974</v>
      </c>
    </row>
    <row r="126" spans="1:21" x14ac:dyDescent="0.35">
      <c r="A126" t="s">
        <v>76</v>
      </c>
      <c r="B126">
        <v>5</v>
      </c>
      <c r="C126" t="s">
        <v>15</v>
      </c>
      <c r="D126" t="s">
        <v>16</v>
      </c>
      <c r="E126" t="s">
        <v>17</v>
      </c>
      <c r="F126" t="s">
        <v>18</v>
      </c>
      <c r="G126" t="s">
        <v>72</v>
      </c>
      <c r="H126" t="s">
        <v>20</v>
      </c>
      <c r="I126" t="s">
        <v>21</v>
      </c>
      <c r="J126" t="s">
        <v>22</v>
      </c>
      <c r="K126" t="s">
        <v>26</v>
      </c>
      <c r="L126">
        <v>5</v>
      </c>
      <c r="M126">
        <v>1</v>
      </c>
      <c r="N126" t="s">
        <v>30</v>
      </c>
      <c r="O126" t="s">
        <v>46</v>
      </c>
      <c r="P126" t="s">
        <v>43</v>
      </c>
      <c r="Q126">
        <v>7457</v>
      </c>
    </row>
    <row r="127" spans="1:21" x14ac:dyDescent="0.35">
      <c r="A127" t="s">
        <v>76</v>
      </c>
      <c r="B127">
        <v>6</v>
      </c>
      <c r="C127" t="s">
        <v>15</v>
      </c>
      <c r="D127" t="s">
        <v>16</v>
      </c>
      <c r="E127" t="s">
        <v>17</v>
      </c>
      <c r="F127" t="s">
        <v>18</v>
      </c>
      <c r="G127" t="s">
        <v>72</v>
      </c>
      <c r="H127" t="s">
        <v>20</v>
      </c>
      <c r="I127" t="s">
        <v>21</v>
      </c>
      <c r="J127" t="s">
        <v>22</v>
      </c>
      <c r="K127" t="s">
        <v>23</v>
      </c>
      <c r="L127">
        <v>3</v>
      </c>
      <c r="M127">
        <v>1</v>
      </c>
      <c r="N127" t="s">
        <v>31</v>
      </c>
      <c r="O127" t="s">
        <v>47</v>
      </c>
      <c r="P127" t="s">
        <v>43</v>
      </c>
      <c r="Q127">
        <v>16926</v>
      </c>
    </row>
    <row r="128" spans="1:21" x14ac:dyDescent="0.35">
      <c r="A128" t="s">
        <v>76</v>
      </c>
      <c r="B128">
        <v>7</v>
      </c>
      <c r="C128" t="s">
        <v>15</v>
      </c>
      <c r="D128" t="s">
        <v>16</v>
      </c>
      <c r="E128" t="s">
        <v>17</v>
      </c>
      <c r="F128" t="s">
        <v>18</v>
      </c>
      <c r="G128" t="s">
        <v>72</v>
      </c>
      <c r="H128" t="s">
        <v>20</v>
      </c>
      <c r="I128" t="s">
        <v>21</v>
      </c>
      <c r="J128" t="s">
        <v>22</v>
      </c>
      <c r="K128" t="s">
        <v>26</v>
      </c>
      <c r="L128">
        <v>1</v>
      </c>
      <c r="M128">
        <v>1</v>
      </c>
      <c r="N128" t="s">
        <v>32</v>
      </c>
      <c r="O128" t="s">
        <v>32</v>
      </c>
      <c r="P128" t="s">
        <v>25</v>
      </c>
      <c r="Q128">
        <v>5073</v>
      </c>
    </row>
    <row r="129" spans="1:21" x14ac:dyDescent="0.35">
      <c r="A129" t="s">
        <v>76</v>
      </c>
      <c r="B129">
        <v>8</v>
      </c>
      <c r="C129" t="s">
        <v>15</v>
      </c>
      <c r="D129" t="s">
        <v>16</v>
      </c>
      <c r="E129" t="s">
        <v>17</v>
      </c>
      <c r="F129" t="s">
        <v>18</v>
      </c>
      <c r="G129" t="s">
        <v>72</v>
      </c>
      <c r="H129" t="s">
        <v>20</v>
      </c>
      <c r="I129" t="s">
        <v>21</v>
      </c>
      <c r="J129" t="s">
        <v>22</v>
      </c>
      <c r="K129" t="s">
        <v>26</v>
      </c>
      <c r="L129">
        <v>1</v>
      </c>
      <c r="M129">
        <v>1</v>
      </c>
      <c r="N129" t="s">
        <v>33</v>
      </c>
      <c r="O129" t="s">
        <v>33</v>
      </c>
      <c r="P129" t="s">
        <v>25</v>
      </c>
      <c r="Q129">
        <v>4084</v>
      </c>
    </row>
    <row r="130" spans="1:21" x14ac:dyDescent="0.35">
      <c r="A130" t="s">
        <v>76</v>
      </c>
      <c r="B130">
        <v>9</v>
      </c>
      <c r="C130" t="s">
        <v>15</v>
      </c>
      <c r="D130" t="s">
        <v>16</v>
      </c>
      <c r="E130" t="s">
        <v>17</v>
      </c>
      <c r="F130" t="s">
        <v>18</v>
      </c>
      <c r="G130" t="s">
        <v>72</v>
      </c>
      <c r="H130" t="s">
        <v>20</v>
      </c>
      <c r="I130" t="s">
        <v>21</v>
      </c>
      <c r="J130" t="s">
        <v>22</v>
      </c>
      <c r="K130" t="s">
        <v>23</v>
      </c>
      <c r="L130">
        <v>1</v>
      </c>
      <c r="M130">
        <v>1</v>
      </c>
      <c r="N130" t="s">
        <v>34</v>
      </c>
      <c r="O130" t="s">
        <v>34</v>
      </c>
      <c r="P130" t="s">
        <v>25</v>
      </c>
      <c r="Q130">
        <v>7412</v>
      </c>
    </row>
    <row r="131" spans="1:21" x14ac:dyDescent="0.35">
      <c r="A131" t="s">
        <v>76</v>
      </c>
      <c r="B131">
        <v>10</v>
      </c>
      <c r="C131" t="s">
        <v>15</v>
      </c>
      <c r="D131" t="s">
        <v>16</v>
      </c>
      <c r="E131" t="s">
        <v>17</v>
      </c>
      <c r="F131" t="s">
        <v>18</v>
      </c>
      <c r="G131" t="s">
        <v>72</v>
      </c>
      <c r="H131" t="s">
        <v>20</v>
      </c>
      <c r="I131" t="s">
        <v>21</v>
      </c>
      <c r="J131" t="s">
        <v>22</v>
      </c>
      <c r="K131" t="s">
        <v>23</v>
      </c>
      <c r="L131">
        <v>5</v>
      </c>
      <c r="M131">
        <v>1</v>
      </c>
      <c r="N131" t="s">
        <v>35</v>
      </c>
      <c r="O131" t="s">
        <v>48</v>
      </c>
      <c r="P131" t="s">
        <v>43</v>
      </c>
      <c r="Q131">
        <v>24687</v>
      </c>
    </row>
    <row r="132" spans="1:21" x14ac:dyDescent="0.35">
      <c r="A132" t="s">
        <v>76</v>
      </c>
      <c r="B132">
        <v>11</v>
      </c>
      <c r="C132" t="s">
        <v>15</v>
      </c>
      <c r="D132" t="s">
        <v>16</v>
      </c>
      <c r="E132" t="s">
        <v>17</v>
      </c>
      <c r="F132" t="s">
        <v>18</v>
      </c>
      <c r="G132" t="s">
        <v>72</v>
      </c>
      <c r="H132" t="s">
        <v>20</v>
      </c>
      <c r="I132" t="s">
        <v>21</v>
      </c>
      <c r="J132" t="s">
        <v>22</v>
      </c>
      <c r="K132" t="s">
        <v>26</v>
      </c>
      <c r="L132">
        <v>3</v>
      </c>
      <c r="M132">
        <v>1</v>
      </c>
      <c r="N132" t="s">
        <v>36</v>
      </c>
      <c r="O132" t="s">
        <v>49</v>
      </c>
      <c r="P132" t="s">
        <v>43</v>
      </c>
      <c r="Q132">
        <v>7042</v>
      </c>
    </row>
    <row r="133" spans="1:21" x14ac:dyDescent="0.35">
      <c r="A133" t="s">
        <v>76</v>
      </c>
      <c r="B133">
        <v>12</v>
      </c>
      <c r="C133" t="s">
        <v>15</v>
      </c>
      <c r="D133" t="s">
        <v>16</v>
      </c>
      <c r="E133" t="s">
        <v>17</v>
      </c>
      <c r="F133" t="s">
        <v>18</v>
      </c>
      <c r="G133" t="s">
        <v>72</v>
      </c>
      <c r="H133" t="s">
        <v>20</v>
      </c>
      <c r="I133" t="s">
        <v>21</v>
      </c>
      <c r="J133" t="s">
        <v>22</v>
      </c>
      <c r="K133" t="s">
        <v>23</v>
      </c>
      <c r="L133">
        <v>3</v>
      </c>
      <c r="M133">
        <v>1</v>
      </c>
      <c r="N133" t="s">
        <v>37</v>
      </c>
      <c r="O133" t="s">
        <v>50</v>
      </c>
      <c r="P133" t="s">
        <v>43</v>
      </c>
      <c r="Q133">
        <v>20146</v>
      </c>
    </row>
    <row r="134" spans="1:21" x14ac:dyDescent="0.35">
      <c r="A134" t="s">
        <v>77</v>
      </c>
      <c r="B134">
        <v>1</v>
      </c>
      <c r="C134" t="s">
        <v>15</v>
      </c>
      <c r="D134" t="s">
        <v>16</v>
      </c>
      <c r="E134" t="s">
        <v>17</v>
      </c>
      <c r="F134" t="s">
        <v>18</v>
      </c>
      <c r="G134" t="s">
        <v>54</v>
      </c>
      <c r="H134" t="s">
        <v>20</v>
      </c>
      <c r="I134" t="s">
        <v>21</v>
      </c>
      <c r="J134" t="s">
        <v>41</v>
      </c>
      <c r="K134" t="s">
        <v>23</v>
      </c>
      <c r="L134">
        <v>5</v>
      </c>
      <c r="M134">
        <v>1</v>
      </c>
      <c r="N134" t="s">
        <v>24</v>
      </c>
      <c r="O134" t="s">
        <v>42</v>
      </c>
      <c r="P134" t="s">
        <v>43</v>
      </c>
      <c r="Q134">
        <v>33839</v>
      </c>
      <c r="T134">
        <f>SUM(Q134:Q145)</f>
        <v>153330</v>
      </c>
      <c r="U134">
        <f>T134/1000/60</f>
        <v>2.5555000000000003</v>
      </c>
    </row>
    <row r="135" spans="1:21" x14ac:dyDescent="0.35">
      <c r="A135" t="s">
        <v>77</v>
      </c>
      <c r="B135">
        <v>2</v>
      </c>
      <c r="C135" t="s">
        <v>15</v>
      </c>
      <c r="D135" t="s">
        <v>16</v>
      </c>
      <c r="E135" t="s">
        <v>17</v>
      </c>
      <c r="F135" t="s">
        <v>18</v>
      </c>
      <c r="G135" t="s">
        <v>54</v>
      </c>
      <c r="H135" t="s">
        <v>20</v>
      </c>
      <c r="I135" t="s">
        <v>21</v>
      </c>
      <c r="J135" t="s">
        <v>41</v>
      </c>
      <c r="K135" t="s">
        <v>26</v>
      </c>
      <c r="L135">
        <v>5</v>
      </c>
      <c r="M135">
        <v>1</v>
      </c>
      <c r="N135" t="s">
        <v>27</v>
      </c>
      <c r="O135" t="s">
        <v>44</v>
      </c>
      <c r="P135" t="s">
        <v>43</v>
      </c>
      <c r="Q135">
        <v>11555</v>
      </c>
    </row>
    <row r="136" spans="1:21" x14ac:dyDescent="0.35">
      <c r="A136" t="s">
        <v>77</v>
      </c>
      <c r="B136">
        <v>3</v>
      </c>
      <c r="C136" t="s">
        <v>15</v>
      </c>
      <c r="D136" t="s">
        <v>16</v>
      </c>
      <c r="E136" t="s">
        <v>17</v>
      </c>
      <c r="F136" t="s">
        <v>18</v>
      </c>
      <c r="G136" t="s">
        <v>54</v>
      </c>
      <c r="H136" t="s">
        <v>20</v>
      </c>
      <c r="I136" t="s">
        <v>21</v>
      </c>
      <c r="J136" t="s">
        <v>41</v>
      </c>
      <c r="K136" t="s">
        <v>26</v>
      </c>
      <c r="L136">
        <v>3</v>
      </c>
      <c r="M136">
        <v>1</v>
      </c>
      <c r="N136" t="s">
        <v>28</v>
      </c>
      <c r="O136" t="s">
        <v>45</v>
      </c>
      <c r="P136" t="s">
        <v>43</v>
      </c>
      <c r="Q136">
        <v>7079</v>
      </c>
    </row>
    <row r="137" spans="1:21" x14ac:dyDescent="0.35">
      <c r="A137" t="s">
        <v>77</v>
      </c>
      <c r="B137">
        <v>4</v>
      </c>
      <c r="C137" t="s">
        <v>15</v>
      </c>
      <c r="D137" t="s">
        <v>16</v>
      </c>
      <c r="E137" t="s">
        <v>17</v>
      </c>
      <c r="F137" t="s">
        <v>18</v>
      </c>
      <c r="G137" t="s">
        <v>54</v>
      </c>
      <c r="H137" t="s">
        <v>20</v>
      </c>
      <c r="I137" t="s">
        <v>21</v>
      </c>
      <c r="J137" t="s">
        <v>41</v>
      </c>
      <c r="K137" t="s">
        <v>23</v>
      </c>
      <c r="L137">
        <v>1</v>
      </c>
      <c r="M137">
        <v>1</v>
      </c>
      <c r="N137" t="s">
        <v>29</v>
      </c>
      <c r="O137" t="s">
        <v>29</v>
      </c>
      <c r="P137" t="s">
        <v>25</v>
      </c>
      <c r="Q137">
        <v>6552</v>
      </c>
    </row>
    <row r="138" spans="1:21" x14ac:dyDescent="0.35">
      <c r="A138" t="s">
        <v>77</v>
      </c>
      <c r="B138">
        <v>5</v>
      </c>
      <c r="C138" t="s">
        <v>15</v>
      </c>
      <c r="D138" t="s">
        <v>16</v>
      </c>
      <c r="E138" t="s">
        <v>17</v>
      </c>
      <c r="F138" t="s">
        <v>18</v>
      </c>
      <c r="G138" t="s">
        <v>54</v>
      </c>
      <c r="H138" t="s">
        <v>20</v>
      </c>
      <c r="I138" t="s">
        <v>21</v>
      </c>
      <c r="J138" t="s">
        <v>41</v>
      </c>
      <c r="K138" t="s">
        <v>26</v>
      </c>
      <c r="L138">
        <v>5</v>
      </c>
      <c r="M138">
        <v>1</v>
      </c>
      <c r="N138" t="s">
        <v>30</v>
      </c>
      <c r="O138" t="s">
        <v>46</v>
      </c>
      <c r="P138" t="s">
        <v>43</v>
      </c>
      <c r="Q138">
        <v>9105</v>
      </c>
    </row>
    <row r="139" spans="1:21" x14ac:dyDescent="0.35">
      <c r="A139" t="s">
        <v>77</v>
      </c>
      <c r="B139">
        <v>6</v>
      </c>
      <c r="C139" t="s">
        <v>15</v>
      </c>
      <c r="D139" t="s">
        <v>16</v>
      </c>
      <c r="E139" t="s">
        <v>17</v>
      </c>
      <c r="F139" t="s">
        <v>18</v>
      </c>
      <c r="G139" t="s">
        <v>54</v>
      </c>
      <c r="H139" t="s">
        <v>20</v>
      </c>
      <c r="I139" t="s">
        <v>21</v>
      </c>
      <c r="J139" t="s">
        <v>41</v>
      </c>
      <c r="K139" t="s">
        <v>23</v>
      </c>
      <c r="L139">
        <v>3</v>
      </c>
      <c r="M139">
        <v>1</v>
      </c>
      <c r="N139" t="s">
        <v>31</v>
      </c>
      <c r="O139" t="s">
        <v>47</v>
      </c>
      <c r="P139" t="s">
        <v>43</v>
      </c>
      <c r="Q139">
        <v>17965</v>
      </c>
    </row>
    <row r="140" spans="1:21" x14ac:dyDescent="0.35">
      <c r="A140" t="s">
        <v>77</v>
      </c>
      <c r="B140">
        <v>7</v>
      </c>
      <c r="C140" t="s">
        <v>15</v>
      </c>
      <c r="D140" t="s">
        <v>16</v>
      </c>
      <c r="E140" t="s">
        <v>17</v>
      </c>
      <c r="F140" t="s">
        <v>18</v>
      </c>
      <c r="G140" t="s">
        <v>54</v>
      </c>
      <c r="H140" t="s">
        <v>20</v>
      </c>
      <c r="I140" t="s">
        <v>21</v>
      </c>
      <c r="J140" t="s">
        <v>41</v>
      </c>
      <c r="K140" t="s">
        <v>26</v>
      </c>
      <c r="L140">
        <v>1</v>
      </c>
      <c r="M140">
        <v>1</v>
      </c>
      <c r="N140" t="s">
        <v>32</v>
      </c>
      <c r="O140" t="s">
        <v>32</v>
      </c>
      <c r="P140" t="s">
        <v>25</v>
      </c>
      <c r="Q140">
        <v>3897</v>
      </c>
    </row>
    <row r="141" spans="1:21" x14ac:dyDescent="0.35">
      <c r="A141" t="s">
        <v>77</v>
      </c>
      <c r="B141">
        <v>8</v>
      </c>
      <c r="C141" t="s">
        <v>15</v>
      </c>
      <c r="D141" t="s">
        <v>16</v>
      </c>
      <c r="E141" t="s">
        <v>17</v>
      </c>
      <c r="F141" t="s">
        <v>18</v>
      </c>
      <c r="G141" t="s">
        <v>54</v>
      </c>
      <c r="H141" t="s">
        <v>20</v>
      </c>
      <c r="I141" t="s">
        <v>21</v>
      </c>
      <c r="J141" t="s">
        <v>41</v>
      </c>
      <c r="K141" t="s">
        <v>26</v>
      </c>
      <c r="L141">
        <v>1</v>
      </c>
      <c r="M141">
        <v>1</v>
      </c>
      <c r="N141" t="s">
        <v>33</v>
      </c>
      <c r="O141" t="s">
        <v>33</v>
      </c>
      <c r="P141" t="s">
        <v>25</v>
      </c>
      <c r="Q141">
        <v>3648</v>
      </c>
    </row>
    <row r="142" spans="1:21" x14ac:dyDescent="0.35">
      <c r="A142" t="s">
        <v>77</v>
      </c>
      <c r="B142">
        <v>9</v>
      </c>
      <c r="C142" t="s">
        <v>15</v>
      </c>
      <c r="D142" t="s">
        <v>16</v>
      </c>
      <c r="E142" t="s">
        <v>17</v>
      </c>
      <c r="F142" t="s">
        <v>18</v>
      </c>
      <c r="G142" t="s">
        <v>54</v>
      </c>
      <c r="H142" t="s">
        <v>20</v>
      </c>
      <c r="I142" t="s">
        <v>21</v>
      </c>
      <c r="J142" t="s">
        <v>41</v>
      </c>
      <c r="K142" t="s">
        <v>23</v>
      </c>
      <c r="L142">
        <v>1</v>
      </c>
      <c r="M142">
        <v>1</v>
      </c>
      <c r="N142" t="s">
        <v>34</v>
      </c>
      <c r="O142" t="s">
        <v>34</v>
      </c>
      <c r="P142" t="s">
        <v>25</v>
      </c>
      <c r="Q142">
        <v>6664</v>
      </c>
    </row>
    <row r="143" spans="1:21" x14ac:dyDescent="0.35">
      <c r="A143" t="s">
        <v>77</v>
      </c>
      <c r="B143">
        <v>10</v>
      </c>
      <c r="C143" t="s">
        <v>15</v>
      </c>
      <c r="D143" t="s">
        <v>16</v>
      </c>
      <c r="E143" t="s">
        <v>17</v>
      </c>
      <c r="F143" t="s">
        <v>18</v>
      </c>
      <c r="G143" t="s">
        <v>54</v>
      </c>
      <c r="H143" t="s">
        <v>20</v>
      </c>
      <c r="I143" t="s">
        <v>21</v>
      </c>
      <c r="J143" t="s">
        <v>41</v>
      </c>
      <c r="K143" t="s">
        <v>23</v>
      </c>
      <c r="L143">
        <v>5</v>
      </c>
      <c r="M143">
        <v>1</v>
      </c>
      <c r="N143" t="s">
        <v>35</v>
      </c>
      <c r="O143" t="s">
        <v>48</v>
      </c>
      <c r="P143" t="s">
        <v>43</v>
      </c>
      <c r="Q143">
        <v>30724</v>
      </c>
    </row>
    <row r="144" spans="1:21" x14ac:dyDescent="0.35">
      <c r="A144" t="s">
        <v>77</v>
      </c>
      <c r="B144">
        <v>11</v>
      </c>
      <c r="C144" t="s">
        <v>15</v>
      </c>
      <c r="D144" t="s">
        <v>16</v>
      </c>
      <c r="E144" t="s">
        <v>17</v>
      </c>
      <c r="F144" t="s">
        <v>18</v>
      </c>
      <c r="G144" t="s">
        <v>54</v>
      </c>
      <c r="H144" t="s">
        <v>20</v>
      </c>
      <c r="I144" t="s">
        <v>21</v>
      </c>
      <c r="J144" t="s">
        <v>41</v>
      </c>
      <c r="K144" t="s">
        <v>26</v>
      </c>
      <c r="L144">
        <v>3</v>
      </c>
      <c r="M144">
        <v>1</v>
      </c>
      <c r="N144" t="s">
        <v>36</v>
      </c>
      <c r="O144" t="s">
        <v>49</v>
      </c>
      <c r="P144" t="s">
        <v>43</v>
      </c>
      <c r="Q144">
        <v>6774</v>
      </c>
    </row>
    <row r="145" spans="1:21" x14ac:dyDescent="0.35">
      <c r="A145" t="s">
        <v>77</v>
      </c>
      <c r="B145">
        <v>12</v>
      </c>
      <c r="C145" t="s">
        <v>15</v>
      </c>
      <c r="D145" t="s">
        <v>16</v>
      </c>
      <c r="E145" t="s">
        <v>17</v>
      </c>
      <c r="F145" t="s">
        <v>18</v>
      </c>
      <c r="G145" t="s">
        <v>54</v>
      </c>
      <c r="H145" t="s">
        <v>20</v>
      </c>
      <c r="I145" t="s">
        <v>21</v>
      </c>
      <c r="J145" t="s">
        <v>41</v>
      </c>
      <c r="K145" t="s">
        <v>23</v>
      </c>
      <c r="L145">
        <v>3</v>
      </c>
      <c r="M145">
        <v>1</v>
      </c>
      <c r="N145" t="s">
        <v>37</v>
      </c>
      <c r="O145" t="s">
        <v>50</v>
      </c>
      <c r="P145" t="s">
        <v>43</v>
      </c>
      <c r="Q145">
        <v>15528</v>
      </c>
    </row>
    <row r="146" spans="1:21" x14ac:dyDescent="0.35">
      <c r="A146" t="s">
        <v>79</v>
      </c>
      <c r="B146">
        <v>1</v>
      </c>
      <c r="C146" t="s">
        <v>40</v>
      </c>
      <c r="D146" t="s">
        <v>64</v>
      </c>
      <c r="E146" t="s">
        <v>17</v>
      </c>
      <c r="F146" t="s">
        <v>53</v>
      </c>
      <c r="G146" t="s">
        <v>72</v>
      </c>
      <c r="H146" t="s">
        <v>20</v>
      </c>
      <c r="I146" t="s">
        <v>78</v>
      </c>
      <c r="J146" t="s">
        <v>61</v>
      </c>
      <c r="K146" t="s">
        <v>23</v>
      </c>
      <c r="L146">
        <v>5</v>
      </c>
      <c r="M146">
        <v>1</v>
      </c>
      <c r="N146" t="s">
        <v>24</v>
      </c>
      <c r="O146" t="s">
        <v>24</v>
      </c>
      <c r="P146" t="s">
        <v>25</v>
      </c>
      <c r="Q146">
        <v>42297</v>
      </c>
      <c r="T146">
        <f>SUM(Q146:Q157)</f>
        <v>244934</v>
      </c>
      <c r="U146">
        <f>T146/1000/60</f>
        <v>4.0822333333333329</v>
      </c>
    </row>
    <row r="147" spans="1:21" x14ac:dyDescent="0.35">
      <c r="A147" t="s">
        <v>79</v>
      </c>
      <c r="B147">
        <v>2</v>
      </c>
      <c r="C147" t="s">
        <v>40</v>
      </c>
      <c r="D147" t="s">
        <v>64</v>
      </c>
      <c r="E147" t="s">
        <v>17</v>
      </c>
      <c r="F147" t="s">
        <v>53</v>
      </c>
      <c r="G147" t="s">
        <v>72</v>
      </c>
      <c r="H147" t="s">
        <v>20</v>
      </c>
      <c r="I147" t="s">
        <v>78</v>
      </c>
      <c r="J147" t="s">
        <v>61</v>
      </c>
      <c r="K147" t="s">
        <v>26</v>
      </c>
      <c r="L147">
        <v>5</v>
      </c>
      <c r="M147">
        <v>1</v>
      </c>
      <c r="N147" t="s">
        <v>27</v>
      </c>
      <c r="O147" t="s">
        <v>27</v>
      </c>
      <c r="P147" t="s">
        <v>25</v>
      </c>
      <c r="Q147">
        <v>62433</v>
      </c>
    </row>
    <row r="148" spans="1:21" x14ac:dyDescent="0.35">
      <c r="A148" t="s">
        <v>79</v>
      </c>
      <c r="B148">
        <v>3</v>
      </c>
      <c r="C148" t="s">
        <v>40</v>
      </c>
      <c r="D148" t="s">
        <v>64</v>
      </c>
      <c r="E148" t="s">
        <v>17</v>
      </c>
      <c r="F148" t="s">
        <v>53</v>
      </c>
      <c r="G148" t="s">
        <v>72</v>
      </c>
      <c r="H148" t="s">
        <v>20</v>
      </c>
      <c r="I148" t="s">
        <v>78</v>
      </c>
      <c r="J148" t="s">
        <v>61</v>
      </c>
      <c r="K148" t="s">
        <v>26</v>
      </c>
      <c r="L148">
        <v>3</v>
      </c>
      <c r="M148">
        <v>1</v>
      </c>
      <c r="N148" t="s">
        <v>28</v>
      </c>
      <c r="O148" t="s">
        <v>28</v>
      </c>
      <c r="P148" t="s">
        <v>25</v>
      </c>
      <c r="Q148">
        <v>12329</v>
      </c>
    </row>
    <row r="149" spans="1:21" x14ac:dyDescent="0.35">
      <c r="A149" t="s">
        <v>79</v>
      </c>
      <c r="B149">
        <v>4</v>
      </c>
      <c r="C149" t="s">
        <v>40</v>
      </c>
      <c r="D149" t="s">
        <v>64</v>
      </c>
      <c r="E149" t="s">
        <v>17</v>
      </c>
      <c r="F149" t="s">
        <v>53</v>
      </c>
      <c r="G149" t="s">
        <v>72</v>
      </c>
      <c r="H149" t="s">
        <v>20</v>
      </c>
      <c r="I149" t="s">
        <v>78</v>
      </c>
      <c r="J149" t="s">
        <v>61</v>
      </c>
      <c r="K149" t="s">
        <v>23</v>
      </c>
      <c r="L149">
        <v>1</v>
      </c>
      <c r="M149">
        <v>1</v>
      </c>
      <c r="N149" t="s">
        <v>29</v>
      </c>
      <c r="O149" t="s">
        <v>29</v>
      </c>
      <c r="P149" t="s">
        <v>25</v>
      </c>
      <c r="Q149">
        <v>8855</v>
      </c>
    </row>
    <row r="150" spans="1:21" x14ac:dyDescent="0.35">
      <c r="A150" t="s">
        <v>79</v>
      </c>
      <c r="B150">
        <v>5</v>
      </c>
      <c r="C150" t="s">
        <v>40</v>
      </c>
      <c r="D150" t="s">
        <v>64</v>
      </c>
      <c r="E150" t="s">
        <v>17</v>
      </c>
      <c r="F150" t="s">
        <v>53</v>
      </c>
      <c r="G150" t="s">
        <v>72</v>
      </c>
      <c r="H150" t="s">
        <v>20</v>
      </c>
      <c r="I150" t="s">
        <v>78</v>
      </c>
      <c r="J150" t="s">
        <v>61</v>
      </c>
      <c r="K150" t="s">
        <v>26</v>
      </c>
      <c r="L150">
        <v>5</v>
      </c>
      <c r="M150">
        <v>1</v>
      </c>
      <c r="N150" t="s">
        <v>30</v>
      </c>
      <c r="O150" t="s">
        <v>30</v>
      </c>
      <c r="P150" t="s">
        <v>25</v>
      </c>
      <c r="Q150">
        <v>15504</v>
      </c>
    </row>
    <row r="151" spans="1:21" x14ac:dyDescent="0.35">
      <c r="A151" t="s">
        <v>79</v>
      </c>
      <c r="B151">
        <v>6</v>
      </c>
      <c r="C151" t="s">
        <v>40</v>
      </c>
      <c r="D151" t="s">
        <v>64</v>
      </c>
      <c r="E151" t="s">
        <v>17</v>
      </c>
      <c r="F151" t="s">
        <v>53</v>
      </c>
      <c r="G151" t="s">
        <v>72</v>
      </c>
      <c r="H151" t="s">
        <v>20</v>
      </c>
      <c r="I151" t="s">
        <v>78</v>
      </c>
      <c r="J151" t="s">
        <v>61</v>
      </c>
      <c r="K151" t="s">
        <v>23</v>
      </c>
      <c r="L151">
        <v>3</v>
      </c>
      <c r="M151">
        <v>1</v>
      </c>
      <c r="N151" t="s">
        <v>31</v>
      </c>
      <c r="O151" t="s">
        <v>31</v>
      </c>
      <c r="P151" t="s">
        <v>25</v>
      </c>
      <c r="Q151">
        <v>25314</v>
      </c>
    </row>
    <row r="152" spans="1:21" x14ac:dyDescent="0.35">
      <c r="A152" t="s">
        <v>79</v>
      </c>
      <c r="B152">
        <v>7</v>
      </c>
      <c r="C152" t="s">
        <v>40</v>
      </c>
      <c r="D152" t="s">
        <v>64</v>
      </c>
      <c r="E152" t="s">
        <v>17</v>
      </c>
      <c r="F152" t="s">
        <v>53</v>
      </c>
      <c r="G152" t="s">
        <v>72</v>
      </c>
      <c r="H152" t="s">
        <v>20</v>
      </c>
      <c r="I152" t="s">
        <v>78</v>
      </c>
      <c r="J152" t="s">
        <v>61</v>
      </c>
      <c r="K152" t="s">
        <v>26</v>
      </c>
      <c r="L152">
        <v>1</v>
      </c>
      <c r="M152">
        <v>1</v>
      </c>
      <c r="N152" t="s">
        <v>32</v>
      </c>
      <c r="O152" t="s">
        <v>32</v>
      </c>
      <c r="P152" t="s">
        <v>25</v>
      </c>
      <c r="Q152">
        <v>4677</v>
      </c>
    </row>
    <row r="153" spans="1:21" x14ac:dyDescent="0.35">
      <c r="A153" t="s">
        <v>79</v>
      </c>
      <c r="B153">
        <v>8</v>
      </c>
      <c r="C153" t="s">
        <v>40</v>
      </c>
      <c r="D153" t="s">
        <v>64</v>
      </c>
      <c r="E153" t="s">
        <v>17</v>
      </c>
      <c r="F153" t="s">
        <v>53</v>
      </c>
      <c r="G153" t="s">
        <v>72</v>
      </c>
      <c r="H153" t="s">
        <v>20</v>
      </c>
      <c r="I153" t="s">
        <v>78</v>
      </c>
      <c r="J153" t="s">
        <v>61</v>
      </c>
      <c r="K153" t="s">
        <v>26</v>
      </c>
      <c r="L153">
        <v>1</v>
      </c>
      <c r="M153">
        <v>1</v>
      </c>
      <c r="N153" t="s">
        <v>33</v>
      </c>
      <c r="O153" t="s">
        <v>33</v>
      </c>
      <c r="P153" t="s">
        <v>25</v>
      </c>
      <c r="Q153">
        <v>4648</v>
      </c>
    </row>
    <row r="154" spans="1:21" x14ac:dyDescent="0.35">
      <c r="A154" t="s">
        <v>79</v>
      </c>
      <c r="B154">
        <v>9</v>
      </c>
      <c r="C154" t="s">
        <v>40</v>
      </c>
      <c r="D154" t="s">
        <v>64</v>
      </c>
      <c r="E154" t="s">
        <v>17</v>
      </c>
      <c r="F154" t="s">
        <v>53</v>
      </c>
      <c r="G154" t="s">
        <v>72</v>
      </c>
      <c r="H154" t="s">
        <v>20</v>
      </c>
      <c r="I154" t="s">
        <v>78</v>
      </c>
      <c r="J154" t="s">
        <v>61</v>
      </c>
      <c r="K154" t="s">
        <v>23</v>
      </c>
      <c r="L154">
        <v>1</v>
      </c>
      <c r="M154">
        <v>1</v>
      </c>
      <c r="N154" t="s">
        <v>34</v>
      </c>
      <c r="O154" t="s">
        <v>34</v>
      </c>
      <c r="P154" t="s">
        <v>25</v>
      </c>
      <c r="Q154">
        <v>10536</v>
      </c>
    </row>
    <row r="155" spans="1:21" x14ac:dyDescent="0.35">
      <c r="A155" t="s">
        <v>79</v>
      </c>
      <c r="B155">
        <v>10</v>
      </c>
      <c r="C155" t="s">
        <v>40</v>
      </c>
      <c r="D155" t="s">
        <v>64</v>
      </c>
      <c r="E155" t="s">
        <v>17</v>
      </c>
      <c r="F155" t="s">
        <v>53</v>
      </c>
      <c r="G155" t="s">
        <v>72</v>
      </c>
      <c r="H155" t="s">
        <v>20</v>
      </c>
      <c r="I155" t="s">
        <v>78</v>
      </c>
      <c r="J155" t="s">
        <v>61</v>
      </c>
      <c r="K155" t="s">
        <v>23</v>
      </c>
      <c r="L155">
        <v>5</v>
      </c>
      <c r="M155">
        <v>1</v>
      </c>
      <c r="N155" t="s">
        <v>35</v>
      </c>
      <c r="O155" t="s">
        <v>35</v>
      </c>
      <c r="P155" t="s">
        <v>25</v>
      </c>
      <c r="Q155">
        <v>28509</v>
      </c>
    </row>
    <row r="156" spans="1:21" x14ac:dyDescent="0.35">
      <c r="A156" t="s">
        <v>79</v>
      </c>
      <c r="B156">
        <v>11</v>
      </c>
      <c r="C156" t="s">
        <v>40</v>
      </c>
      <c r="D156" t="s">
        <v>64</v>
      </c>
      <c r="E156" t="s">
        <v>17</v>
      </c>
      <c r="F156" t="s">
        <v>53</v>
      </c>
      <c r="G156" t="s">
        <v>72</v>
      </c>
      <c r="H156" t="s">
        <v>20</v>
      </c>
      <c r="I156" t="s">
        <v>78</v>
      </c>
      <c r="J156" t="s">
        <v>61</v>
      </c>
      <c r="K156" t="s">
        <v>26</v>
      </c>
      <c r="L156">
        <v>3</v>
      </c>
      <c r="M156">
        <v>1</v>
      </c>
      <c r="N156" t="s">
        <v>36</v>
      </c>
      <c r="O156" t="s">
        <v>36</v>
      </c>
      <c r="P156" t="s">
        <v>25</v>
      </c>
      <c r="Q156">
        <v>8827</v>
      </c>
    </row>
    <row r="157" spans="1:21" x14ac:dyDescent="0.35">
      <c r="A157" t="s">
        <v>79</v>
      </c>
      <c r="B157">
        <v>12</v>
      </c>
      <c r="C157" t="s">
        <v>40</v>
      </c>
      <c r="D157" t="s">
        <v>64</v>
      </c>
      <c r="E157" t="s">
        <v>17</v>
      </c>
      <c r="F157" t="s">
        <v>53</v>
      </c>
      <c r="G157" t="s">
        <v>72</v>
      </c>
      <c r="H157" t="s">
        <v>20</v>
      </c>
      <c r="I157" t="s">
        <v>78</v>
      </c>
      <c r="J157" t="s">
        <v>61</v>
      </c>
      <c r="K157" t="s">
        <v>23</v>
      </c>
      <c r="L157">
        <v>3</v>
      </c>
      <c r="M157">
        <v>1</v>
      </c>
      <c r="N157" t="s">
        <v>37</v>
      </c>
      <c r="O157" t="s">
        <v>37</v>
      </c>
      <c r="P157" t="s">
        <v>25</v>
      </c>
      <c r="Q157">
        <v>21005</v>
      </c>
    </row>
    <row r="158" spans="1:21" x14ac:dyDescent="0.35">
      <c r="A158" t="s">
        <v>80</v>
      </c>
      <c r="B158">
        <v>1</v>
      </c>
      <c r="C158" t="s">
        <v>52</v>
      </c>
      <c r="D158" t="s">
        <v>64</v>
      </c>
      <c r="E158" t="s">
        <v>65</v>
      </c>
      <c r="F158" t="s">
        <v>18</v>
      </c>
      <c r="G158" t="s">
        <v>72</v>
      </c>
      <c r="H158" t="s">
        <v>20</v>
      </c>
      <c r="I158" t="s">
        <v>78</v>
      </c>
      <c r="J158" t="s">
        <v>22</v>
      </c>
      <c r="K158" t="s">
        <v>23</v>
      </c>
      <c r="L158">
        <v>5</v>
      </c>
      <c r="M158">
        <v>1</v>
      </c>
      <c r="N158" t="s">
        <v>24</v>
      </c>
      <c r="O158" t="s">
        <v>42</v>
      </c>
      <c r="P158" t="s">
        <v>43</v>
      </c>
      <c r="Q158">
        <v>33139</v>
      </c>
      <c r="T158">
        <f>SUM(Q158:Q169)</f>
        <v>175560</v>
      </c>
      <c r="U158">
        <f>T158/1000/60</f>
        <v>2.9260000000000002</v>
      </c>
    </row>
    <row r="159" spans="1:21" x14ac:dyDescent="0.35">
      <c r="A159" t="s">
        <v>80</v>
      </c>
      <c r="B159">
        <v>2</v>
      </c>
      <c r="C159" t="s">
        <v>52</v>
      </c>
      <c r="D159" t="s">
        <v>64</v>
      </c>
      <c r="E159" t="s">
        <v>65</v>
      </c>
      <c r="F159" t="s">
        <v>18</v>
      </c>
      <c r="G159" t="s">
        <v>72</v>
      </c>
      <c r="H159" t="s">
        <v>20</v>
      </c>
      <c r="I159" t="s">
        <v>78</v>
      </c>
      <c r="J159" t="s">
        <v>22</v>
      </c>
      <c r="K159" t="s">
        <v>26</v>
      </c>
      <c r="L159">
        <v>5</v>
      </c>
      <c r="M159">
        <v>1</v>
      </c>
      <c r="N159" t="s">
        <v>27</v>
      </c>
      <c r="O159" t="s">
        <v>44</v>
      </c>
      <c r="P159" t="s">
        <v>43</v>
      </c>
      <c r="Q159">
        <v>11564</v>
      </c>
    </row>
    <row r="160" spans="1:21" x14ac:dyDescent="0.35">
      <c r="A160" t="s">
        <v>80</v>
      </c>
      <c r="B160">
        <v>3</v>
      </c>
      <c r="C160" t="s">
        <v>52</v>
      </c>
      <c r="D160" t="s">
        <v>64</v>
      </c>
      <c r="E160" t="s">
        <v>65</v>
      </c>
      <c r="F160" t="s">
        <v>18</v>
      </c>
      <c r="G160" t="s">
        <v>72</v>
      </c>
      <c r="H160" t="s">
        <v>20</v>
      </c>
      <c r="I160" t="s">
        <v>78</v>
      </c>
      <c r="J160" t="s">
        <v>22</v>
      </c>
      <c r="K160" t="s">
        <v>26</v>
      </c>
      <c r="L160">
        <v>3</v>
      </c>
      <c r="M160">
        <v>1</v>
      </c>
      <c r="N160" t="s">
        <v>28</v>
      </c>
      <c r="O160" t="s">
        <v>45</v>
      </c>
      <c r="P160" t="s">
        <v>43</v>
      </c>
      <c r="Q160">
        <v>10307</v>
      </c>
    </row>
    <row r="161" spans="1:21" x14ac:dyDescent="0.35">
      <c r="A161" t="s">
        <v>80</v>
      </c>
      <c r="B161">
        <v>4</v>
      </c>
      <c r="C161" t="s">
        <v>52</v>
      </c>
      <c r="D161" t="s">
        <v>64</v>
      </c>
      <c r="E161" t="s">
        <v>65</v>
      </c>
      <c r="F161" t="s">
        <v>18</v>
      </c>
      <c r="G161" t="s">
        <v>72</v>
      </c>
      <c r="H161" t="s">
        <v>20</v>
      </c>
      <c r="I161" t="s">
        <v>78</v>
      </c>
      <c r="J161" t="s">
        <v>22</v>
      </c>
      <c r="K161" t="s">
        <v>23</v>
      </c>
      <c r="L161">
        <v>1</v>
      </c>
      <c r="M161">
        <v>1</v>
      </c>
      <c r="N161" t="s">
        <v>29</v>
      </c>
      <c r="O161" t="s">
        <v>29</v>
      </c>
      <c r="P161" t="s">
        <v>25</v>
      </c>
      <c r="Q161">
        <v>5756</v>
      </c>
    </row>
    <row r="162" spans="1:21" x14ac:dyDescent="0.35">
      <c r="A162" t="s">
        <v>80</v>
      </c>
      <c r="B162">
        <v>5</v>
      </c>
      <c r="C162" t="s">
        <v>52</v>
      </c>
      <c r="D162" t="s">
        <v>64</v>
      </c>
      <c r="E162" t="s">
        <v>65</v>
      </c>
      <c r="F162" t="s">
        <v>18</v>
      </c>
      <c r="G162" t="s">
        <v>72</v>
      </c>
      <c r="H162" t="s">
        <v>20</v>
      </c>
      <c r="I162" t="s">
        <v>78</v>
      </c>
      <c r="J162" t="s">
        <v>22</v>
      </c>
      <c r="K162" t="s">
        <v>26</v>
      </c>
      <c r="L162">
        <v>5</v>
      </c>
      <c r="M162">
        <v>1</v>
      </c>
      <c r="N162" t="s">
        <v>30</v>
      </c>
      <c r="O162" t="s">
        <v>46</v>
      </c>
      <c r="P162" t="s">
        <v>43</v>
      </c>
      <c r="Q162">
        <v>8892</v>
      </c>
    </row>
    <row r="163" spans="1:21" x14ac:dyDescent="0.35">
      <c r="A163" t="s">
        <v>80</v>
      </c>
      <c r="B163">
        <v>6</v>
      </c>
      <c r="C163" t="s">
        <v>52</v>
      </c>
      <c r="D163" t="s">
        <v>64</v>
      </c>
      <c r="E163" t="s">
        <v>65</v>
      </c>
      <c r="F163" t="s">
        <v>18</v>
      </c>
      <c r="G163" t="s">
        <v>72</v>
      </c>
      <c r="H163" t="s">
        <v>20</v>
      </c>
      <c r="I163" t="s">
        <v>78</v>
      </c>
      <c r="J163" t="s">
        <v>22</v>
      </c>
      <c r="K163" t="s">
        <v>23</v>
      </c>
      <c r="L163">
        <v>3</v>
      </c>
      <c r="M163">
        <v>1</v>
      </c>
      <c r="N163" t="s">
        <v>31</v>
      </c>
      <c r="O163" t="s">
        <v>47</v>
      </c>
      <c r="P163" t="s">
        <v>43</v>
      </c>
      <c r="Q163">
        <v>21578</v>
      </c>
    </row>
    <row r="164" spans="1:21" x14ac:dyDescent="0.35">
      <c r="A164" t="s">
        <v>80</v>
      </c>
      <c r="B164">
        <v>7</v>
      </c>
      <c r="C164" t="s">
        <v>52</v>
      </c>
      <c r="D164" t="s">
        <v>64</v>
      </c>
      <c r="E164" t="s">
        <v>65</v>
      </c>
      <c r="F164" t="s">
        <v>18</v>
      </c>
      <c r="G164" t="s">
        <v>72</v>
      </c>
      <c r="H164" t="s">
        <v>20</v>
      </c>
      <c r="I164" t="s">
        <v>78</v>
      </c>
      <c r="J164" t="s">
        <v>22</v>
      </c>
      <c r="K164" t="s">
        <v>26</v>
      </c>
      <c r="L164">
        <v>1</v>
      </c>
      <c r="M164">
        <v>1</v>
      </c>
      <c r="N164" t="s">
        <v>32</v>
      </c>
      <c r="O164" t="s">
        <v>32</v>
      </c>
      <c r="P164" t="s">
        <v>25</v>
      </c>
      <c r="Q164">
        <v>3842</v>
      </c>
    </row>
    <row r="165" spans="1:21" x14ac:dyDescent="0.35">
      <c r="A165" t="s">
        <v>80</v>
      </c>
      <c r="B165">
        <v>8</v>
      </c>
      <c r="C165" t="s">
        <v>52</v>
      </c>
      <c r="D165" t="s">
        <v>64</v>
      </c>
      <c r="E165" t="s">
        <v>65</v>
      </c>
      <c r="F165" t="s">
        <v>18</v>
      </c>
      <c r="G165" t="s">
        <v>72</v>
      </c>
      <c r="H165" t="s">
        <v>20</v>
      </c>
      <c r="I165" t="s">
        <v>78</v>
      </c>
      <c r="J165" t="s">
        <v>22</v>
      </c>
      <c r="K165" t="s">
        <v>26</v>
      </c>
      <c r="L165">
        <v>1</v>
      </c>
      <c r="M165">
        <v>1</v>
      </c>
      <c r="N165" t="s">
        <v>33</v>
      </c>
      <c r="O165" t="s">
        <v>33</v>
      </c>
      <c r="P165" t="s">
        <v>25</v>
      </c>
      <c r="Q165">
        <v>3602</v>
      </c>
    </row>
    <row r="166" spans="1:21" x14ac:dyDescent="0.35">
      <c r="A166" t="s">
        <v>80</v>
      </c>
      <c r="B166">
        <v>9</v>
      </c>
      <c r="C166" t="s">
        <v>52</v>
      </c>
      <c r="D166" t="s">
        <v>64</v>
      </c>
      <c r="E166" t="s">
        <v>65</v>
      </c>
      <c r="F166" t="s">
        <v>18</v>
      </c>
      <c r="G166" t="s">
        <v>72</v>
      </c>
      <c r="H166" t="s">
        <v>20</v>
      </c>
      <c r="I166" t="s">
        <v>78</v>
      </c>
      <c r="J166" t="s">
        <v>22</v>
      </c>
      <c r="K166" t="s">
        <v>23</v>
      </c>
      <c r="L166">
        <v>1</v>
      </c>
      <c r="M166">
        <v>1</v>
      </c>
      <c r="N166" t="s">
        <v>34</v>
      </c>
      <c r="O166" t="s">
        <v>34</v>
      </c>
      <c r="P166" t="s">
        <v>25</v>
      </c>
      <c r="Q166">
        <v>6522</v>
      </c>
    </row>
    <row r="167" spans="1:21" x14ac:dyDescent="0.35">
      <c r="A167" t="s">
        <v>80</v>
      </c>
      <c r="B167">
        <v>10</v>
      </c>
      <c r="C167" t="s">
        <v>52</v>
      </c>
      <c r="D167" t="s">
        <v>64</v>
      </c>
      <c r="E167" t="s">
        <v>65</v>
      </c>
      <c r="F167" t="s">
        <v>18</v>
      </c>
      <c r="G167" t="s">
        <v>72</v>
      </c>
      <c r="H167" t="s">
        <v>20</v>
      </c>
      <c r="I167" t="s">
        <v>78</v>
      </c>
      <c r="J167" t="s">
        <v>22</v>
      </c>
      <c r="K167" t="s">
        <v>23</v>
      </c>
      <c r="L167">
        <v>5</v>
      </c>
      <c r="M167">
        <v>1</v>
      </c>
      <c r="N167" t="s">
        <v>35</v>
      </c>
      <c r="O167" t="s">
        <v>48</v>
      </c>
      <c r="P167" t="s">
        <v>43</v>
      </c>
      <c r="Q167">
        <v>42089</v>
      </c>
    </row>
    <row r="168" spans="1:21" x14ac:dyDescent="0.35">
      <c r="A168" t="s">
        <v>80</v>
      </c>
      <c r="B168">
        <v>11</v>
      </c>
      <c r="C168" t="s">
        <v>52</v>
      </c>
      <c r="D168" t="s">
        <v>64</v>
      </c>
      <c r="E168" t="s">
        <v>65</v>
      </c>
      <c r="F168" t="s">
        <v>18</v>
      </c>
      <c r="G168" t="s">
        <v>72</v>
      </c>
      <c r="H168" t="s">
        <v>20</v>
      </c>
      <c r="I168" t="s">
        <v>78</v>
      </c>
      <c r="J168" t="s">
        <v>22</v>
      </c>
      <c r="K168" t="s">
        <v>26</v>
      </c>
      <c r="L168">
        <v>3</v>
      </c>
      <c r="M168">
        <v>1</v>
      </c>
      <c r="N168" t="s">
        <v>36</v>
      </c>
      <c r="O168" t="s">
        <v>49</v>
      </c>
      <c r="P168" t="s">
        <v>43</v>
      </c>
      <c r="Q168">
        <v>6915</v>
      </c>
    </row>
    <row r="169" spans="1:21" x14ac:dyDescent="0.35">
      <c r="A169" t="s">
        <v>80</v>
      </c>
      <c r="B169">
        <v>12</v>
      </c>
      <c r="C169" t="s">
        <v>52</v>
      </c>
      <c r="D169" t="s">
        <v>64</v>
      </c>
      <c r="E169" t="s">
        <v>65</v>
      </c>
      <c r="F169" t="s">
        <v>18</v>
      </c>
      <c r="G169" t="s">
        <v>72</v>
      </c>
      <c r="H169" t="s">
        <v>20</v>
      </c>
      <c r="I169" t="s">
        <v>78</v>
      </c>
      <c r="J169" t="s">
        <v>22</v>
      </c>
      <c r="K169" t="s">
        <v>23</v>
      </c>
      <c r="L169">
        <v>3</v>
      </c>
      <c r="M169">
        <v>1</v>
      </c>
      <c r="N169" t="s">
        <v>37</v>
      </c>
      <c r="O169" t="s">
        <v>50</v>
      </c>
      <c r="P169" t="s">
        <v>43</v>
      </c>
      <c r="Q169">
        <v>21354</v>
      </c>
    </row>
    <row r="170" spans="1:21" x14ac:dyDescent="0.35">
      <c r="A170" t="s">
        <v>81</v>
      </c>
      <c r="B170">
        <v>1</v>
      </c>
      <c r="C170" t="s">
        <v>52</v>
      </c>
      <c r="D170" t="s">
        <v>64</v>
      </c>
      <c r="E170" t="s">
        <v>65</v>
      </c>
      <c r="F170" t="s">
        <v>53</v>
      </c>
      <c r="G170" t="s">
        <v>19</v>
      </c>
      <c r="H170" t="s">
        <v>55</v>
      </c>
      <c r="I170" t="s">
        <v>66</v>
      </c>
      <c r="J170" t="s">
        <v>41</v>
      </c>
      <c r="K170" t="s">
        <v>23</v>
      </c>
      <c r="L170">
        <v>5</v>
      </c>
      <c r="M170">
        <v>1</v>
      </c>
      <c r="N170" t="s">
        <v>24</v>
      </c>
      <c r="O170" t="s">
        <v>24</v>
      </c>
      <c r="P170" t="s">
        <v>25</v>
      </c>
      <c r="Q170">
        <v>92378</v>
      </c>
      <c r="T170">
        <f>SUM(Q170:Q181)</f>
        <v>443654</v>
      </c>
      <c r="U170">
        <f>T170/1000/60</f>
        <v>7.3942333333333332</v>
      </c>
    </row>
    <row r="171" spans="1:21" x14ac:dyDescent="0.35">
      <c r="A171" t="s">
        <v>81</v>
      </c>
      <c r="B171">
        <v>2</v>
      </c>
      <c r="C171" t="s">
        <v>52</v>
      </c>
      <c r="D171" t="s">
        <v>64</v>
      </c>
      <c r="E171" t="s">
        <v>65</v>
      </c>
      <c r="F171" t="s">
        <v>53</v>
      </c>
      <c r="G171" t="s">
        <v>19</v>
      </c>
      <c r="H171" t="s">
        <v>55</v>
      </c>
      <c r="I171" t="s">
        <v>66</v>
      </c>
      <c r="J171" t="s">
        <v>41</v>
      </c>
      <c r="K171" t="s">
        <v>26</v>
      </c>
      <c r="L171">
        <v>5</v>
      </c>
      <c r="M171">
        <v>1</v>
      </c>
      <c r="N171" t="s">
        <v>27</v>
      </c>
      <c r="O171" t="s">
        <v>27</v>
      </c>
      <c r="P171" t="s">
        <v>25</v>
      </c>
      <c r="Q171">
        <v>61672</v>
      </c>
    </row>
    <row r="172" spans="1:21" x14ac:dyDescent="0.35">
      <c r="A172" t="s">
        <v>81</v>
      </c>
      <c r="B172">
        <v>3</v>
      </c>
      <c r="C172" t="s">
        <v>52</v>
      </c>
      <c r="D172" t="s">
        <v>64</v>
      </c>
      <c r="E172" t="s">
        <v>65</v>
      </c>
      <c r="F172" t="s">
        <v>53</v>
      </c>
      <c r="G172" t="s">
        <v>19</v>
      </c>
      <c r="H172" t="s">
        <v>55</v>
      </c>
      <c r="I172" t="s">
        <v>66</v>
      </c>
      <c r="J172" t="s">
        <v>41</v>
      </c>
      <c r="K172" t="s">
        <v>26</v>
      </c>
      <c r="L172">
        <v>3</v>
      </c>
      <c r="M172">
        <v>1</v>
      </c>
      <c r="N172" t="s">
        <v>28</v>
      </c>
      <c r="O172" t="s">
        <v>28</v>
      </c>
      <c r="P172" t="s">
        <v>25</v>
      </c>
      <c r="Q172">
        <v>32161</v>
      </c>
    </row>
    <row r="173" spans="1:21" x14ac:dyDescent="0.35">
      <c r="A173" t="s">
        <v>81</v>
      </c>
      <c r="B173">
        <v>4</v>
      </c>
      <c r="C173" t="s">
        <v>52</v>
      </c>
      <c r="D173" t="s">
        <v>64</v>
      </c>
      <c r="E173" t="s">
        <v>65</v>
      </c>
      <c r="F173" t="s">
        <v>53</v>
      </c>
      <c r="G173" t="s">
        <v>19</v>
      </c>
      <c r="H173" t="s">
        <v>55</v>
      </c>
      <c r="I173" t="s">
        <v>66</v>
      </c>
      <c r="J173" t="s">
        <v>41</v>
      </c>
      <c r="K173" t="s">
        <v>23</v>
      </c>
      <c r="L173">
        <v>1</v>
      </c>
      <c r="M173">
        <v>1</v>
      </c>
      <c r="N173" t="s">
        <v>29</v>
      </c>
      <c r="O173" t="s">
        <v>29</v>
      </c>
      <c r="P173" t="s">
        <v>25</v>
      </c>
      <c r="Q173">
        <v>20311</v>
      </c>
    </row>
    <row r="174" spans="1:21" x14ac:dyDescent="0.35">
      <c r="A174" t="s">
        <v>81</v>
      </c>
      <c r="B174">
        <v>5</v>
      </c>
      <c r="C174" t="s">
        <v>52</v>
      </c>
      <c r="D174" t="s">
        <v>64</v>
      </c>
      <c r="E174" t="s">
        <v>65</v>
      </c>
      <c r="F174" t="s">
        <v>53</v>
      </c>
      <c r="G174" t="s">
        <v>19</v>
      </c>
      <c r="H174" t="s">
        <v>55</v>
      </c>
      <c r="I174" t="s">
        <v>66</v>
      </c>
      <c r="J174" t="s">
        <v>41</v>
      </c>
      <c r="K174" t="s">
        <v>26</v>
      </c>
      <c r="L174">
        <v>5</v>
      </c>
      <c r="M174">
        <v>1</v>
      </c>
      <c r="N174" t="s">
        <v>30</v>
      </c>
      <c r="O174" t="s">
        <v>30</v>
      </c>
      <c r="P174" t="s">
        <v>25</v>
      </c>
      <c r="Q174">
        <v>43607</v>
      </c>
    </row>
    <row r="175" spans="1:21" x14ac:dyDescent="0.35">
      <c r="A175" t="s">
        <v>81</v>
      </c>
      <c r="B175">
        <v>6</v>
      </c>
      <c r="C175" t="s">
        <v>52</v>
      </c>
      <c r="D175" t="s">
        <v>64</v>
      </c>
      <c r="E175" t="s">
        <v>65</v>
      </c>
      <c r="F175" t="s">
        <v>53</v>
      </c>
      <c r="G175" t="s">
        <v>19</v>
      </c>
      <c r="H175" t="s">
        <v>55</v>
      </c>
      <c r="I175" t="s">
        <v>66</v>
      </c>
      <c r="J175" t="s">
        <v>41</v>
      </c>
      <c r="K175" t="s">
        <v>23</v>
      </c>
      <c r="L175">
        <v>3</v>
      </c>
      <c r="M175">
        <v>1</v>
      </c>
      <c r="N175" t="s">
        <v>31</v>
      </c>
      <c r="O175" t="s">
        <v>31</v>
      </c>
      <c r="P175" t="s">
        <v>25</v>
      </c>
      <c r="Q175">
        <v>34721</v>
      </c>
    </row>
    <row r="176" spans="1:21" x14ac:dyDescent="0.35">
      <c r="A176" t="s">
        <v>81</v>
      </c>
      <c r="B176">
        <v>7</v>
      </c>
      <c r="C176" t="s">
        <v>52</v>
      </c>
      <c r="D176" t="s">
        <v>64</v>
      </c>
      <c r="E176" t="s">
        <v>65</v>
      </c>
      <c r="F176" t="s">
        <v>53</v>
      </c>
      <c r="G176" t="s">
        <v>19</v>
      </c>
      <c r="H176" t="s">
        <v>55</v>
      </c>
      <c r="I176" t="s">
        <v>66</v>
      </c>
      <c r="J176" t="s">
        <v>41</v>
      </c>
      <c r="K176" t="s">
        <v>26</v>
      </c>
      <c r="L176">
        <v>1</v>
      </c>
      <c r="M176">
        <v>1</v>
      </c>
      <c r="N176" t="s">
        <v>32</v>
      </c>
      <c r="O176" t="s">
        <v>32</v>
      </c>
      <c r="P176" t="s">
        <v>25</v>
      </c>
      <c r="Q176">
        <v>17432</v>
      </c>
    </row>
    <row r="177" spans="1:21" x14ac:dyDescent="0.35">
      <c r="A177" t="s">
        <v>81</v>
      </c>
      <c r="B177">
        <v>8</v>
      </c>
      <c r="C177" t="s">
        <v>52</v>
      </c>
      <c r="D177" t="s">
        <v>64</v>
      </c>
      <c r="E177" t="s">
        <v>65</v>
      </c>
      <c r="F177" t="s">
        <v>53</v>
      </c>
      <c r="G177" t="s">
        <v>19</v>
      </c>
      <c r="H177" t="s">
        <v>55</v>
      </c>
      <c r="I177" t="s">
        <v>66</v>
      </c>
      <c r="J177" t="s">
        <v>41</v>
      </c>
      <c r="K177" t="s">
        <v>26</v>
      </c>
      <c r="L177">
        <v>1</v>
      </c>
      <c r="M177">
        <v>1</v>
      </c>
      <c r="N177" t="s">
        <v>33</v>
      </c>
      <c r="O177" t="s">
        <v>33</v>
      </c>
      <c r="P177" t="s">
        <v>25</v>
      </c>
      <c r="Q177">
        <v>9906</v>
      </c>
    </row>
    <row r="178" spans="1:21" x14ac:dyDescent="0.35">
      <c r="A178" t="s">
        <v>81</v>
      </c>
      <c r="B178">
        <v>9</v>
      </c>
      <c r="C178" t="s">
        <v>52</v>
      </c>
      <c r="D178" t="s">
        <v>64</v>
      </c>
      <c r="E178" t="s">
        <v>65</v>
      </c>
      <c r="F178" t="s">
        <v>53</v>
      </c>
      <c r="G178" t="s">
        <v>19</v>
      </c>
      <c r="H178" t="s">
        <v>55</v>
      </c>
      <c r="I178" t="s">
        <v>66</v>
      </c>
      <c r="J178" t="s">
        <v>41</v>
      </c>
      <c r="K178" t="s">
        <v>23</v>
      </c>
      <c r="L178">
        <v>1</v>
      </c>
      <c r="M178">
        <v>1</v>
      </c>
      <c r="N178" t="s">
        <v>34</v>
      </c>
      <c r="O178" t="s">
        <v>34</v>
      </c>
      <c r="P178" t="s">
        <v>25</v>
      </c>
      <c r="Q178">
        <v>22584</v>
      </c>
    </row>
    <row r="179" spans="1:21" x14ac:dyDescent="0.35">
      <c r="A179" t="s">
        <v>81</v>
      </c>
      <c r="B179">
        <v>10</v>
      </c>
      <c r="C179" t="s">
        <v>52</v>
      </c>
      <c r="D179" t="s">
        <v>64</v>
      </c>
      <c r="E179" t="s">
        <v>65</v>
      </c>
      <c r="F179" t="s">
        <v>53</v>
      </c>
      <c r="G179" t="s">
        <v>19</v>
      </c>
      <c r="H179" t="s">
        <v>55</v>
      </c>
      <c r="I179" t="s">
        <v>66</v>
      </c>
      <c r="J179" t="s">
        <v>41</v>
      </c>
      <c r="K179" t="s">
        <v>23</v>
      </c>
      <c r="L179">
        <v>5</v>
      </c>
      <c r="M179">
        <v>1</v>
      </c>
      <c r="N179" t="s">
        <v>35</v>
      </c>
      <c r="O179" t="s">
        <v>35</v>
      </c>
      <c r="P179" t="s">
        <v>25</v>
      </c>
      <c r="Q179">
        <v>57002</v>
      </c>
    </row>
    <row r="180" spans="1:21" x14ac:dyDescent="0.35">
      <c r="A180" t="s">
        <v>81</v>
      </c>
      <c r="B180">
        <v>11</v>
      </c>
      <c r="C180" t="s">
        <v>52</v>
      </c>
      <c r="D180" t="s">
        <v>64</v>
      </c>
      <c r="E180" t="s">
        <v>65</v>
      </c>
      <c r="F180" t="s">
        <v>53</v>
      </c>
      <c r="G180" t="s">
        <v>19</v>
      </c>
      <c r="H180" t="s">
        <v>55</v>
      </c>
      <c r="I180" t="s">
        <v>66</v>
      </c>
      <c r="J180" t="s">
        <v>41</v>
      </c>
      <c r="K180" t="s">
        <v>26</v>
      </c>
      <c r="L180">
        <v>3</v>
      </c>
      <c r="M180">
        <v>1</v>
      </c>
      <c r="N180" t="s">
        <v>36</v>
      </c>
      <c r="O180" t="s">
        <v>36</v>
      </c>
      <c r="P180" t="s">
        <v>25</v>
      </c>
      <c r="Q180">
        <v>23433</v>
      </c>
    </row>
    <row r="181" spans="1:21" x14ac:dyDescent="0.35">
      <c r="A181" t="s">
        <v>81</v>
      </c>
      <c r="B181">
        <v>12</v>
      </c>
      <c r="C181" t="s">
        <v>52</v>
      </c>
      <c r="D181" t="s">
        <v>64</v>
      </c>
      <c r="E181" t="s">
        <v>65</v>
      </c>
      <c r="F181" t="s">
        <v>53</v>
      </c>
      <c r="G181" t="s">
        <v>19</v>
      </c>
      <c r="H181" t="s">
        <v>55</v>
      </c>
      <c r="I181" t="s">
        <v>66</v>
      </c>
      <c r="J181" t="s">
        <v>41</v>
      </c>
      <c r="K181" t="s">
        <v>23</v>
      </c>
      <c r="L181">
        <v>3</v>
      </c>
      <c r="M181">
        <v>1</v>
      </c>
      <c r="N181" t="s">
        <v>37</v>
      </c>
      <c r="O181" t="s">
        <v>37</v>
      </c>
      <c r="P181" t="s">
        <v>25</v>
      </c>
      <c r="Q181">
        <v>28447</v>
      </c>
    </row>
    <row r="182" spans="1:21" x14ac:dyDescent="0.35">
      <c r="A182" t="s">
        <v>84</v>
      </c>
      <c r="B182">
        <v>1</v>
      </c>
      <c r="C182" t="s">
        <v>15</v>
      </c>
      <c r="D182" t="s">
        <v>64</v>
      </c>
      <c r="E182" t="s">
        <v>65</v>
      </c>
      <c r="F182" t="s">
        <v>53</v>
      </c>
      <c r="G182" t="s">
        <v>82</v>
      </c>
      <c r="H182" t="s">
        <v>20</v>
      </c>
      <c r="I182" t="s">
        <v>83</v>
      </c>
      <c r="J182" t="s">
        <v>61</v>
      </c>
      <c r="K182" t="s">
        <v>23</v>
      </c>
      <c r="L182">
        <v>5</v>
      </c>
      <c r="M182">
        <v>1</v>
      </c>
      <c r="N182" t="s">
        <v>24</v>
      </c>
      <c r="O182" t="s">
        <v>24</v>
      </c>
      <c r="P182" t="s">
        <v>25</v>
      </c>
      <c r="Q182">
        <v>186302</v>
      </c>
      <c r="T182">
        <f>SUM(Q182:Q193)</f>
        <v>403029</v>
      </c>
      <c r="U182">
        <f>T182/1000/60</f>
        <v>6.7171500000000002</v>
      </c>
    </row>
    <row r="183" spans="1:21" x14ac:dyDescent="0.35">
      <c r="A183" t="s">
        <v>84</v>
      </c>
      <c r="B183">
        <v>2</v>
      </c>
      <c r="C183" t="s">
        <v>15</v>
      </c>
      <c r="D183" t="s">
        <v>64</v>
      </c>
      <c r="E183" t="s">
        <v>65</v>
      </c>
      <c r="F183" t="s">
        <v>53</v>
      </c>
      <c r="G183" t="s">
        <v>82</v>
      </c>
      <c r="H183" t="s">
        <v>20</v>
      </c>
      <c r="I183" t="s">
        <v>83</v>
      </c>
      <c r="J183" t="s">
        <v>61</v>
      </c>
      <c r="K183" t="s">
        <v>26</v>
      </c>
      <c r="L183">
        <v>5</v>
      </c>
      <c r="M183">
        <v>1</v>
      </c>
      <c r="N183" t="s">
        <v>27</v>
      </c>
      <c r="O183" t="s">
        <v>27</v>
      </c>
      <c r="P183" t="s">
        <v>25</v>
      </c>
      <c r="Q183">
        <v>33624</v>
      </c>
    </row>
    <row r="184" spans="1:21" x14ac:dyDescent="0.35">
      <c r="A184" t="s">
        <v>84</v>
      </c>
      <c r="B184">
        <v>3</v>
      </c>
      <c r="C184" t="s">
        <v>15</v>
      </c>
      <c r="D184" t="s">
        <v>64</v>
      </c>
      <c r="E184" t="s">
        <v>65</v>
      </c>
      <c r="F184" t="s">
        <v>53</v>
      </c>
      <c r="G184" t="s">
        <v>82</v>
      </c>
      <c r="H184" t="s">
        <v>20</v>
      </c>
      <c r="I184" t="s">
        <v>83</v>
      </c>
      <c r="J184" t="s">
        <v>61</v>
      </c>
      <c r="K184" t="s">
        <v>26</v>
      </c>
      <c r="L184">
        <v>3</v>
      </c>
      <c r="M184">
        <v>1</v>
      </c>
      <c r="N184" t="s">
        <v>28</v>
      </c>
      <c r="O184" t="s">
        <v>28</v>
      </c>
      <c r="P184" t="s">
        <v>25</v>
      </c>
      <c r="Q184">
        <v>18240</v>
      </c>
    </row>
    <row r="185" spans="1:21" x14ac:dyDescent="0.35">
      <c r="A185" t="s">
        <v>84</v>
      </c>
      <c r="B185">
        <v>4</v>
      </c>
      <c r="C185" t="s">
        <v>15</v>
      </c>
      <c r="D185" t="s">
        <v>64</v>
      </c>
      <c r="E185" t="s">
        <v>65</v>
      </c>
      <c r="F185" t="s">
        <v>53</v>
      </c>
      <c r="G185" t="s">
        <v>82</v>
      </c>
      <c r="H185" t="s">
        <v>20</v>
      </c>
      <c r="I185" t="s">
        <v>83</v>
      </c>
      <c r="J185" t="s">
        <v>61</v>
      </c>
      <c r="K185" t="s">
        <v>23</v>
      </c>
      <c r="L185">
        <v>1</v>
      </c>
      <c r="M185">
        <v>1</v>
      </c>
      <c r="N185" t="s">
        <v>29</v>
      </c>
      <c r="O185" t="s">
        <v>29</v>
      </c>
      <c r="P185" t="s">
        <v>25</v>
      </c>
      <c r="Q185">
        <v>14629</v>
      </c>
    </row>
    <row r="186" spans="1:21" x14ac:dyDescent="0.35">
      <c r="A186" t="s">
        <v>84</v>
      </c>
      <c r="B186">
        <v>5</v>
      </c>
      <c r="C186" t="s">
        <v>15</v>
      </c>
      <c r="D186" t="s">
        <v>64</v>
      </c>
      <c r="E186" t="s">
        <v>65</v>
      </c>
      <c r="F186" t="s">
        <v>53</v>
      </c>
      <c r="G186" t="s">
        <v>82</v>
      </c>
      <c r="H186" t="s">
        <v>20</v>
      </c>
      <c r="I186" t="s">
        <v>83</v>
      </c>
      <c r="J186" t="s">
        <v>61</v>
      </c>
      <c r="K186" t="s">
        <v>26</v>
      </c>
      <c r="L186">
        <v>5</v>
      </c>
      <c r="M186">
        <v>1</v>
      </c>
      <c r="N186" t="s">
        <v>30</v>
      </c>
      <c r="O186" t="s">
        <v>30</v>
      </c>
      <c r="P186" t="s">
        <v>25</v>
      </c>
      <c r="Q186">
        <v>20471</v>
      </c>
    </row>
    <row r="187" spans="1:21" x14ac:dyDescent="0.35">
      <c r="A187" t="s">
        <v>84</v>
      </c>
      <c r="B187">
        <v>6</v>
      </c>
      <c r="C187" t="s">
        <v>15</v>
      </c>
      <c r="D187" t="s">
        <v>64</v>
      </c>
      <c r="E187" t="s">
        <v>65</v>
      </c>
      <c r="F187" t="s">
        <v>53</v>
      </c>
      <c r="G187" t="s">
        <v>82</v>
      </c>
      <c r="H187" t="s">
        <v>20</v>
      </c>
      <c r="I187" t="s">
        <v>83</v>
      </c>
      <c r="J187" t="s">
        <v>61</v>
      </c>
      <c r="K187" t="s">
        <v>23</v>
      </c>
      <c r="L187">
        <v>3</v>
      </c>
      <c r="M187">
        <v>1</v>
      </c>
      <c r="N187" t="s">
        <v>31</v>
      </c>
      <c r="O187" t="s">
        <v>31</v>
      </c>
      <c r="P187" t="s">
        <v>25</v>
      </c>
      <c r="Q187">
        <v>22531</v>
      </c>
    </row>
    <row r="188" spans="1:21" x14ac:dyDescent="0.35">
      <c r="A188" t="s">
        <v>84</v>
      </c>
      <c r="B188">
        <v>7</v>
      </c>
      <c r="C188" t="s">
        <v>15</v>
      </c>
      <c r="D188" t="s">
        <v>64</v>
      </c>
      <c r="E188" t="s">
        <v>65</v>
      </c>
      <c r="F188" t="s">
        <v>53</v>
      </c>
      <c r="G188" t="s">
        <v>82</v>
      </c>
      <c r="H188" t="s">
        <v>20</v>
      </c>
      <c r="I188" t="s">
        <v>83</v>
      </c>
      <c r="J188" t="s">
        <v>61</v>
      </c>
      <c r="K188" t="s">
        <v>26</v>
      </c>
      <c r="L188">
        <v>1</v>
      </c>
      <c r="M188">
        <v>1</v>
      </c>
      <c r="N188" t="s">
        <v>32</v>
      </c>
      <c r="O188" t="s">
        <v>32</v>
      </c>
      <c r="P188" t="s">
        <v>25</v>
      </c>
      <c r="Q188">
        <v>7210</v>
      </c>
    </row>
    <row r="189" spans="1:21" x14ac:dyDescent="0.35">
      <c r="A189" t="s">
        <v>84</v>
      </c>
      <c r="B189">
        <v>8</v>
      </c>
      <c r="C189" t="s">
        <v>15</v>
      </c>
      <c r="D189" t="s">
        <v>64</v>
      </c>
      <c r="E189" t="s">
        <v>65</v>
      </c>
      <c r="F189" t="s">
        <v>53</v>
      </c>
      <c r="G189" t="s">
        <v>82</v>
      </c>
      <c r="H189" t="s">
        <v>20</v>
      </c>
      <c r="I189" t="s">
        <v>83</v>
      </c>
      <c r="J189" t="s">
        <v>61</v>
      </c>
      <c r="K189" t="s">
        <v>26</v>
      </c>
      <c r="L189">
        <v>1</v>
      </c>
      <c r="M189">
        <v>1</v>
      </c>
      <c r="N189" t="s">
        <v>33</v>
      </c>
      <c r="O189" t="s">
        <v>33</v>
      </c>
      <c r="P189" t="s">
        <v>25</v>
      </c>
      <c r="Q189">
        <v>5780</v>
      </c>
    </row>
    <row r="190" spans="1:21" x14ac:dyDescent="0.35">
      <c r="A190" t="s">
        <v>84</v>
      </c>
      <c r="B190">
        <v>9</v>
      </c>
      <c r="C190" t="s">
        <v>15</v>
      </c>
      <c r="D190" t="s">
        <v>64</v>
      </c>
      <c r="E190" t="s">
        <v>65</v>
      </c>
      <c r="F190" t="s">
        <v>53</v>
      </c>
      <c r="G190" t="s">
        <v>82</v>
      </c>
      <c r="H190" t="s">
        <v>20</v>
      </c>
      <c r="I190" t="s">
        <v>83</v>
      </c>
      <c r="J190" t="s">
        <v>61</v>
      </c>
      <c r="K190" t="s">
        <v>23</v>
      </c>
      <c r="L190">
        <v>1</v>
      </c>
      <c r="M190">
        <v>1</v>
      </c>
      <c r="N190" t="s">
        <v>34</v>
      </c>
      <c r="O190" t="s">
        <v>34</v>
      </c>
      <c r="P190" t="s">
        <v>25</v>
      </c>
      <c r="Q190">
        <v>9670</v>
      </c>
    </row>
    <row r="191" spans="1:21" x14ac:dyDescent="0.35">
      <c r="A191" t="s">
        <v>84</v>
      </c>
      <c r="B191">
        <v>10</v>
      </c>
      <c r="C191" t="s">
        <v>15</v>
      </c>
      <c r="D191" t="s">
        <v>64</v>
      </c>
      <c r="E191" t="s">
        <v>65</v>
      </c>
      <c r="F191" t="s">
        <v>53</v>
      </c>
      <c r="G191" t="s">
        <v>82</v>
      </c>
      <c r="H191" t="s">
        <v>20</v>
      </c>
      <c r="I191" t="s">
        <v>83</v>
      </c>
      <c r="J191" t="s">
        <v>61</v>
      </c>
      <c r="K191" t="s">
        <v>23</v>
      </c>
      <c r="L191">
        <v>5</v>
      </c>
      <c r="M191">
        <v>1</v>
      </c>
      <c r="N191" t="s">
        <v>35</v>
      </c>
      <c r="O191" t="s">
        <v>35</v>
      </c>
      <c r="P191" t="s">
        <v>25</v>
      </c>
      <c r="Q191">
        <v>46750</v>
      </c>
    </row>
    <row r="192" spans="1:21" x14ac:dyDescent="0.35">
      <c r="A192" t="s">
        <v>84</v>
      </c>
      <c r="B192">
        <v>11</v>
      </c>
      <c r="C192" t="s">
        <v>15</v>
      </c>
      <c r="D192" t="s">
        <v>64</v>
      </c>
      <c r="E192" t="s">
        <v>65</v>
      </c>
      <c r="F192" t="s">
        <v>53</v>
      </c>
      <c r="G192" t="s">
        <v>82</v>
      </c>
      <c r="H192" t="s">
        <v>20</v>
      </c>
      <c r="I192" t="s">
        <v>83</v>
      </c>
      <c r="J192" t="s">
        <v>61</v>
      </c>
      <c r="K192" t="s">
        <v>26</v>
      </c>
      <c r="L192">
        <v>3</v>
      </c>
      <c r="M192">
        <v>1</v>
      </c>
      <c r="N192" t="s">
        <v>36</v>
      </c>
      <c r="O192" t="s">
        <v>36</v>
      </c>
      <c r="P192" t="s">
        <v>25</v>
      </c>
      <c r="Q192">
        <v>15327</v>
      </c>
    </row>
    <row r="193" spans="1:21" x14ac:dyDescent="0.35">
      <c r="A193" t="s">
        <v>84</v>
      </c>
      <c r="B193">
        <v>12</v>
      </c>
      <c r="C193" t="s">
        <v>15</v>
      </c>
      <c r="D193" t="s">
        <v>64</v>
      </c>
      <c r="E193" t="s">
        <v>65</v>
      </c>
      <c r="F193" t="s">
        <v>53</v>
      </c>
      <c r="G193" t="s">
        <v>82</v>
      </c>
      <c r="H193" t="s">
        <v>20</v>
      </c>
      <c r="I193" t="s">
        <v>83</v>
      </c>
      <c r="J193" t="s">
        <v>61</v>
      </c>
      <c r="K193" t="s">
        <v>23</v>
      </c>
      <c r="L193">
        <v>3</v>
      </c>
      <c r="M193">
        <v>1</v>
      </c>
      <c r="N193" t="s">
        <v>37</v>
      </c>
      <c r="O193" t="s">
        <v>37</v>
      </c>
      <c r="P193" t="s">
        <v>25</v>
      </c>
      <c r="Q193">
        <v>22495</v>
      </c>
    </row>
    <row r="194" spans="1:21" x14ac:dyDescent="0.35">
      <c r="A194" t="s">
        <v>87</v>
      </c>
      <c r="B194">
        <v>1</v>
      </c>
      <c r="C194" t="s">
        <v>52</v>
      </c>
      <c r="D194" t="s">
        <v>64</v>
      </c>
      <c r="E194" t="s">
        <v>65</v>
      </c>
      <c r="F194" t="s">
        <v>85</v>
      </c>
      <c r="G194" t="s">
        <v>54</v>
      </c>
      <c r="H194" t="s">
        <v>55</v>
      </c>
      <c r="I194" t="s">
        <v>21</v>
      </c>
      <c r="J194" t="s">
        <v>41</v>
      </c>
      <c r="K194" t="s">
        <v>23</v>
      </c>
      <c r="L194">
        <v>5</v>
      </c>
      <c r="M194">
        <v>2</v>
      </c>
      <c r="N194" t="s">
        <v>24</v>
      </c>
      <c r="O194" t="s">
        <v>24</v>
      </c>
      <c r="P194" t="s">
        <v>25</v>
      </c>
      <c r="Q194">
        <v>82440</v>
      </c>
      <c r="R194" t="s">
        <v>86</v>
      </c>
      <c r="S194">
        <v>54856</v>
      </c>
      <c r="T194">
        <f>SUM(Q194:Q205)</f>
        <v>504207</v>
      </c>
      <c r="U194">
        <f>T194/1000/60</f>
        <v>8.4034499999999994</v>
      </c>
    </row>
    <row r="195" spans="1:21" x14ac:dyDescent="0.35">
      <c r="A195" t="s">
        <v>87</v>
      </c>
      <c r="B195">
        <v>2</v>
      </c>
      <c r="C195" t="s">
        <v>52</v>
      </c>
      <c r="D195" t="s">
        <v>64</v>
      </c>
      <c r="E195" t="s">
        <v>65</v>
      </c>
      <c r="F195" t="s">
        <v>85</v>
      </c>
      <c r="G195" t="s">
        <v>54</v>
      </c>
      <c r="H195" t="s">
        <v>55</v>
      </c>
      <c r="I195" t="s">
        <v>21</v>
      </c>
      <c r="J195" t="s">
        <v>41</v>
      </c>
      <c r="K195" t="s">
        <v>26</v>
      </c>
      <c r="L195">
        <v>5</v>
      </c>
      <c r="M195">
        <v>1</v>
      </c>
      <c r="N195" t="s">
        <v>27</v>
      </c>
      <c r="O195" t="s">
        <v>27</v>
      </c>
      <c r="P195" t="s">
        <v>25</v>
      </c>
      <c r="Q195">
        <v>54001</v>
      </c>
    </row>
    <row r="196" spans="1:21" x14ac:dyDescent="0.35">
      <c r="A196" t="s">
        <v>87</v>
      </c>
      <c r="B196">
        <v>3</v>
      </c>
      <c r="C196" t="s">
        <v>52</v>
      </c>
      <c r="D196" t="s">
        <v>64</v>
      </c>
      <c r="E196" t="s">
        <v>65</v>
      </c>
      <c r="F196" t="s">
        <v>85</v>
      </c>
      <c r="G196" t="s">
        <v>54</v>
      </c>
      <c r="H196" t="s">
        <v>55</v>
      </c>
      <c r="I196" t="s">
        <v>21</v>
      </c>
      <c r="J196" t="s">
        <v>41</v>
      </c>
      <c r="K196" t="s">
        <v>26</v>
      </c>
      <c r="L196">
        <v>3</v>
      </c>
      <c r="M196">
        <v>1</v>
      </c>
      <c r="N196" t="s">
        <v>28</v>
      </c>
      <c r="O196" t="s">
        <v>28</v>
      </c>
      <c r="P196" t="s">
        <v>25</v>
      </c>
      <c r="Q196">
        <v>28574</v>
      </c>
    </row>
    <row r="197" spans="1:21" x14ac:dyDescent="0.35">
      <c r="A197" t="s">
        <v>87</v>
      </c>
      <c r="B197">
        <v>4</v>
      </c>
      <c r="C197" t="s">
        <v>52</v>
      </c>
      <c r="D197" t="s">
        <v>64</v>
      </c>
      <c r="E197" t="s">
        <v>65</v>
      </c>
      <c r="F197" t="s">
        <v>85</v>
      </c>
      <c r="G197" t="s">
        <v>54</v>
      </c>
      <c r="H197" t="s">
        <v>55</v>
      </c>
      <c r="I197" t="s">
        <v>21</v>
      </c>
      <c r="J197" t="s">
        <v>41</v>
      </c>
      <c r="K197" t="s">
        <v>23</v>
      </c>
      <c r="L197">
        <v>1</v>
      </c>
      <c r="M197">
        <v>1</v>
      </c>
      <c r="N197" t="s">
        <v>29</v>
      </c>
      <c r="O197" t="s">
        <v>29</v>
      </c>
      <c r="P197" t="s">
        <v>25</v>
      </c>
      <c r="Q197">
        <v>16404</v>
      </c>
    </row>
    <row r="198" spans="1:21" x14ac:dyDescent="0.35">
      <c r="A198" t="s">
        <v>87</v>
      </c>
      <c r="B198">
        <v>5</v>
      </c>
      <c r="C198" t="s">
        <v>52</v>
      </c>
      <c r="D198" t="s">
        <v>64</v>
      </c>
      <c r="E198" t="s">
        <v>65</v>
      </c>
      <c r="F198" t="s">
        <v>85</v>
      </c>
      <c r="G198" t="s">
        <v>54</v>
      </c>
      <c r="H198" t="s">
        <v>55</v>
      </c>
      <c r="I198" t="s">
        <v>21</v>
      </c>
      <c r="J198" t="s">
        <v>41</v>
      </c>
      <c r="K198" t="s">
        <v>26</v>
      </c>
      <c r="L198">
        <v>5</v>
      </c>
      <c r="M198">
        <v>1</v>
      </c>
      <c r="N198" t="s">
        <v>30</v>
      </c>
      <c r="O198" t="s">
        <v>30</v>
      </c>
      <c r="P198" t="s">
        <v>25</v>
      </c>
      <c r="Q198">
        <v>63675</v>
      </c>
    </row>
    <row r="199" spans="1:21" x14ac:dyDescent="0.35">
      <c r="A199" t="s">
        <v>87</v>
      </c>
      <c r="B199">
        <v>6</v>
      </c>
      <c r="C199" t="s">
        <v>52</v>
      </c>
      <c r="D199" t="s">
        <v>64</v>
      </c>
      <c r="E199" t="s">
        <v>65</v>
      </c>
      <c r="F199" t="s">
        <v>85</v>
      </c>
      <c r="G199" t="s">
        <v>54</v>
      </c>
      <c r="H199" t="s">
        <v>55</v>
      </c>
      <c r="I199" t="s">
        <v>21</v>
      </c>
      <c r="J199" t="s">
        <v>41</v>
      </c>
      <c r="K199" t="s">
        <v>23</v>
      </c>
      <c r="L199">
        <v>3</v>
      </c>
      <c r="M199">
        <v>1</v>
      </c>
      <c r="N199" t="s">
        <v>31</v>
      </c>
      <c r="O199" t="s">
        <v>31</v>
      </c>
      <c r="P199" t="s">
        <v>25</v>
      </c>
      <c r="Q199">
        <v>43201</v>
      </c>
    </row>
    <row r="200" spans="1:21" x14ac:dyDescent="0.35">
      <c r="A200" t="s">
        <v>87</v>
      </c>
      <c r="B200">
        <v>7</v>
      </c>
      <c r="C200" t="s">
        <v>52</v>
      </c>
      <c r="D200" t="s">
        <v>64</v>
      </c>
      <c r="E200" t="s">
        <v>65</v>
      </c>
      <c r="F200" t="s">
        <v>85</v>
      </c>
      <c r="G200" t="s">
        <v>54</v>
      </c>
      <c r="H200" t="s">
        <v>55</v>
      </c>
      <c r="I200" t="s">
        <v>21</v>
      </c>
      <c r="J200" t="s">
        <v>41</v>
      </c>
      <c r="K200" t="s">
        <v>26</v>
      </c>
      <c r="L200">
        <v>1</v>
      </c>
      <c r="M200">
        <v>1</v>
      </c>
      <c r="N200" t="s">
        <v>32</v>
      </c>
      <c r="O200" t="s">
        <v>32</v>
      </c>
      <c r="P200" t="s">
        <v>25</v>
      </c>
      <c r="Q200">
        <v>24190</v>
      </c>
    </row>
    <row r="201" spans="1:21" x14ac:dyDescent="0.35">
      <c r="A201" t="s">
        <v>87</v>
      </c>
      <c r="B201">
        <v>8</v>
      </c>
      <c r="C201" t="s">
        <v>52</v>
      </c>
      <c r="D201" t="s">
        <v>64</v>
      </c>
      <c r="E201" t="s">
        <v>65</v>
      </c>
      <c r="F201" t="s">
        <v>85</v>
      </c>
      <c r="G201" t="s">
        <v>54</v>
      </c>
      <c r="H201" t="s">
        <v>55</v>
      </c>
      <c r="I201" t="s">
        <v>21</v>
      </c>
      <c r="J201" t="s">
        <v>41</v>
      </c>
      <c r="K201" t="s">
        <v>26</v>
      </c>
      <c r="L201">
        <v>1</v>
      </c>
      <c r="M201">
        <v>1</v>
      </c>
      <c r="N201" t="s">
        <v>33</v>
      </c>
      <c r="O201" t="s">
        <v>33</v>
      </c>
      <c r="P201" t="s">
        <v>25</v>
      </c>
      <c r="Q201">
        <v>13294</v>
      </c>
    </row>
    <row r="202" spans="1:21" x14ac:dyDescent="0.35">
      <c r="A202" t="s">
        <v>87</v>
      </c>
      <c r="B202">
        <v>9</v>
      </c>
      <c r="C202" t="s">
        <v>52</v>
      </c>
      <c r="D202" t="s">
        <v>64</v>
      </c>
      <c r="E202" t="s">
        <v>65</v>
      </c>
      <c r="F202" t="s">
        <v>85</v>
      </c>
      <c r="G202" t="s">
        <v>54</v>
      </c>
      <c r="H202" t="s">
        <v>55</v>
      </c>
      <c r="I202" t="s">
        <v>21</v>
      </c>
      <c r="J202" t="s">
        <v>41</v>
      </c>
      <c r="K202" t="s">
        <v>23</v>
      </c>
      <c r="L202">
        <v>1</v>
      </c>
      <c r="M202">
        <v>1</v>
      </c>
      <c r="N202" t="s">
        <v>34</v>
      </c>
      <c r="O202" t="s">
        <v>34</v>
      </c>
      <c r="P202" t="s">
        <v>25</v>
      </c>
      <c r="Q202">
        <v>15234</v>
      </c>
    </row>
    <row r="203" spans="1:21" x14ac:dyDescent="0.35">
      <c r="A203" t="s">
        <v>87</v>
      </c>
      <c r="B203">
        <v>10</v>
      </c>
      <c r="C203" t="s">
        <v>52</v>
      </c>
      <c r="D203" t="s">
        <v>64</v>
      </c>
      <c r="E203" t="s">
        <v>65</v>
      </c>
      <c r="F203" t="s">
        <v>85</v>
      </c>
      <c r="G203" t="s">
        <v>54</v>
      </c>
      <c r="H203" t="s">
        <v>55</v>
      </c>
      <c r="I203" t="s">
        <v>21</v>
      </c>
      <c r="J203" t="s">
        <v>41</v>
      </c>
      <c r="K203" t="s">
        <v>23</v>
      </c>
      <c r="L203">
        <v>5</v>
      </c>
      <c r="M203">
        <v>1</v>
      </c>
      <c r="N203" t="s">
        <v>35</v>
      </c>
      <c r="O203" t="s">
        <v>35</v>
      </c>
      <c r="P203" t="s">
        <v>25</v>
      </c>
      <c r="Q203">
        <v>78369</v>
      </c>
    </row>
    <row r="204" spans="1:21" x14ac:dyDescent="0.35">
      <c r="A204" t="s">
        <v>87</v>
      </c>
      <c r="B204">
        <v>11</v>
      </c>
      <c r="C204" t="s">
        <v>52</v>
      </c>
      <c r="D204" t="s">
        <v>64</v>
      </c>
      <c r="E204" t="s">
        <v>65</v>
      </c>
      <c r="F204" t="s">
        <v>85</v>
      </c>
      <c r="G204" t="s">
        <v>54</v>
      </c>
      <c r="H204" t="s">
        <v>55</v>
      </c>
      <c r="I204" t="s">
        <v>21</v>
      </c>
      <c r="J204" t="s">
        <v>41</v>
      </c>
      <c r="K204" t="s">
        <v>26</v>
      </c>
      <c r="L204">
        <v>3</v>
      </c>
      <c r="M204">
        <v>1</v>
      </c>
      <c r="N204" t="s">
        <v>36</v>
      </c>
      <c r="O204" t="s">
        <v>36</v>
      </c>
      <c r="P204" t="s">
        <v>25</v>
      </c>
      <c r="Q204">
        <v>24074</v>
      </c>
    </row>
    <row r="205" spans="1:21" x14ac:dyDescent="0.35">
      <c r="A205" t="s">
        <v>87</v>
      </c>
      <c r="B205">
        <v>12</v>
      </c>
      <c r="C205" t="s">
        <v>52</v>
      </c>
      <c r="D205" t="s">
        <v>64</v>
      </c>
      <c r="E205" t="s">
        <v>65</v>
      </c>
      <c r="F205" t="s">
        <v>85</v>
      </c>
      <c r="G205" t="s">
        <v>54</v>
      </c>
      <c r="H205" t="s">
        <v>55</v>
      </c>
      <c r="I205" t="s">
        <v>21</v>
      </c>
      <c r="J205" t="s">
        <v>41</v>
      </c>
      <c r="K205" t="s">
        <v>23</v>
      </c>
      <c r="L205">
        <v>3</v>
      </c>
      <c r="M205">
        <v>1</v>
      </c>
      <c r="N205" t="s">
        <v>37</v>
      </c>
      <c r="O205" t="s">
        <v>37</v>
      </c>
      <c r="P205" t="s">
        <v>25</v>
      </c>
      <c r="Q205">
        <v>60751</v>
      </c>
    </row>
    <row r="206" spans="1:21" x14ac:dyDescent="0.35">
      <c r="A206" t="s">
        <v>90</v>
      </c>
      <c r="B206">
        <v>1</v>
      </c>
      <c r="C206" t="s">
        <v>40</v>
      </c>
      <c r="D206" t="s">
        <v>64</v>
      </c>
      <c r="E206" t="s">
        <v>65</v>
      </c>
      <c r="F206" t="s">
        <v>18</v>
      </c>
      <c r="G206" t="s">
        <v>19</v>
      </c>
      <c r="H206" t="s">
        <v>88</v>
      </c>
      <c r="I206" t="s">
        <v>89</v>
      </c>
      <c r="J206" t="s">
        <v>41</v>
      </c>
      <c r="K206" t="s">
        <v>23</v>
      </c>
      <c r="L206">
        <v>5</v>
      </c>
      <c r="M206">
        <v>1</v>
      </c>
      <c r="N206" t="s">
        <v>24</v>
      </c>
      <c r="O206" t="s">
        <v>24</v>
      </c>
      <c r="P206" t="s">
        <v>25</v>
      </c>
      <c r="Q206">
        <v>55514</v>
      </c>
      <c r="T206">
        <f>SUM(Q206:Q217)</f>
        <v>240519</v>
      </c>
      <c r="U206">
        <f>T206/1000/60</f>
        <v>4.0086500000000003</v>
      </c>
    </row>
    <row r="207" spans="1:21" x14ac:dyDescent="0.35">
      <c r="A207" t="s">
        <v>90</v>
      </c>
      <c r="B207">
        <v>2</v>
      </c>
      <c r="C207" t="s">
        <v>40</v>
      </c>
      <c r="D207" t="s">
        <v>64</v>
      </c>
      <c r="E207" t="s">
        <v>65</v>
      </c>
      <c r="F207" t="s">
        <v>18</v>
      </c>
      <c r="G207" t="s">
        <v>19</v>
      </c>
      <c r="H207" t="s">
        <v>88</v>
      </c>
      <c r="I207" t="s">
        <v>89</v>
      </c>
      <c r="J207" t="s">
        <v>41</v>
      </c>
      <c r="K207" t="s">
        <v>26</v>
      </c>
      <c r="L207">
        <v>5</v>
      </c>
      <c r="M207">
        <v>1</v>
      </c>
      <c r="N207" t="s">
        <v>27</v>
      </c>
      <c r="O207" t="s">
        <v>27</v>
      </c>
      <c r="P207" t="s">
        <v>25</v>
      </c>
      <c r="Q207">
        <v>16943</v>
      </c>
    </row>
    <row r="208" spans="1:21" x14ac:dyDescent="0.35">
      <c r="A208" t="s">
        <v>90</v>
      </c>
      <c r="B208">
        <v>3</v>
      </c>
      <c r="C208" t="s">
        <v>40</v>
      </c>
      <c r="D208" t="s">
        <v>64</v>
      </c>
      <c r="E208" t="s">
        <v>65</v>
      </c>
      <c r="F208" t="s">
        <v>18</v>
      </c>
      <c r="G208" t="s">
        <v>19</v>
      </c>
      <c r="H208" t="s">
        <v>88</v>
      </c>
      <c r="I208" t="s">
        <v>89</v>
      </c>
      <c r="J208" t="s">
        <v>41</v>
      </c>
      <c r="K208" t="s">
        <v>26</v>
      </c>
      <c r="L208">
        <v>3</v>
      </c>
      <c r="M208">
        <v>1</v>
      </c>
      <c r="N208" t="s">
        <v>28</v>
      </c>
      <c r="O208" t="s">
        <v>28</v>
      </c>
      <c r="P208" t="s">
        <v>25</v>
      </c>
      <c r="Q208">
        <v>10886</v>
      </c>
    </row>
    <row r="209" spans="1:21" x14ac:dyDescent="0.35">
      <c r="A209" t="s">
        <v>90</v>
      </c>
      <c r="B209">
        <v>4</v>
      </c>
      <c r="C209" t="s">
        <v>40</v>
      </c>
      <c r="D209" t="s">
        <v>64</v>
      </c>
      <c r="E209" t="s">
        <v>65</v>
      </c>
      <c r="F209" t="s">
        <v>18</v>
      </c>
      <c r="G209" t="s">
        <v>19</v>
      </c>
      <c r="H209" t="s">
        <v>88</v>
      </c>
      <c r="I209" t="s">
        <v>89</v>
      </c>
      <c r="J209" t="s">
        <v>41</v>
      </c>
      <c r="K209" t="s">
        <v>23</v>
      </c>
      <c r="L209">
        <v>1</v>
      </c>
      <c r="M209">
        <v>1</v>
      </c>
      <c r="N209" t="s">
        <v>29</v>
      </c>
      <c r="O209" t="s">
        <v>29</v>
      </c>
      <c r="P209" t="s">
        <v>25</v>
      </c>
      <c r="Q209">
        <v>10767</v>
      </c>
    </row>
    <row r="210" spans="1:21" x14ac:dyDescent="0.35">
      <c r="A210" t="s">
        <v>90</v>
      </c>
      <c r="B210">
        <v>5</v>
      </c>
      <c r="C210" t="s">
        <v>40</v>
      </c>
      <c r="D210" t="s">
        <v>64</v>
      </c>
      <c r="E210" t="s">
        <v>65</v>
      </c>
      <c r="F210" t="s">
        <v>18</v>
      </c>
      <c r="G210" t="s">
        <v>19</v>
      </c>
      <c r="H210" t="s">
        <v>88</v>
      </c>
      <c r="I210" t="s">
        <v>89</v>
      </c>
      <c r="J210" t="s">
        <v>41</v>
      </c>
      <c r="K210" t="s">
        <v>26</v>
      </c>
      <c r="L210">
        <v>5</v>
      </c>
      <c r="M210">
        <v>1</v>
      </c>
      <c r="N210" t="s">
        <v>30</v>
      </c>
      <c r="O210" t="s">
        <v>30</v>
      </c>
      <c r="P210" t="s">
        <v>25</v>
      </c>
      <c r="Q210">
        <v>15884</v>
      </c>
    </row>
    <row r="211" spans="1:21" x14ac:dyDescent="0.35">
      <c r="A211" t="s">
        <v>90</v>
      </c>
      <c r="B211">
        <v>6</v>
      </c>
      <c r="C211" t="s">
        <v>40</v>
      </c>
      <c r="D211" t="s">
        <v>64</v>
      </c>
      <c r="E211" t="s">
        <v>65</v>
      </c>
      <c r="F211" t="s">
        <v>18</v>
      </c>
      <c r="G211" t="s">
        <v>19</v>
      </c>
      <c r="H211" t="s">
        <v>88</v>
      </c>
      <c r="I211" t="s">
        <v>89</v>
      </c>
      <c r="J211" t="s">
        <v>41</v>
      </c>
      <c r="K211" t="s">
        <v>23</v>
      </c>
      <c r="L211">
        <v>3</v>
      </c>
      <c r="M211">
        <v>1</v>
      </c>
      <c r="N211" t="s">
        <v>31</v>
      </c>
      <c r="O211" t="s">
        <v>31</v>
      </c>
      <c r="P211" t="s">
        <v>25</v>
      </c>
      <c r="Q211">
        <v>24724</v>
      </c>
    </row>
    <row r="212" spans="1:21" x14ac:dyDescent="0.35">
      <c r="A212" t="s">
        <v>90</v>
      </c>
      <c r="B212">
        <v>7</v>
      </c>
      <c r="C212" t="s">
        <v>40</v>
      </c>
      <c r="D212" t="s">
        <v>64</v>
      </c>
      <c r="E212" t="s">
        <v>65</v>
      </c>
      <c r="F212" t="s">
        <v>18</v>
      </c>
      <c r="G212" t="s">
        <v>19</v>
      </c>
      <c r="H212" t="s">
        <v>88</v>
      </c>
      <c r="I212" t="s">
        <v>89</v>
      </c>
      <c r="J212" t="s">
        <v>41</v>
      </c>
      <c r="K212" t="s">
        <v>26</v>
      </c>
      <c r="L212">
        <v>1</v>
      </c>
      <c r="M212">
        <v>1</v>
      </c>
      <c r="N212" t="s">
        <v>32</v>
      </c>
      <c r="O212" t="s">
        <v>32</v>
      </c>
      <c r="P212" t="s">
        <v>25</v>
      </c>
      <c r="Q212">
        <v>5412</v>
      </c>
    </row>
    <row r="213" spans="1:21" x14ac:dyDescent="0.35">
      <c r="A213" t="s">
        <v>90</v>
      </c>
      <c r="B213">
        <v>8</v>
      </c>
      <c r="C213" t="s">
        <v>40</v>
      </c>
      <c r="D213" t="s">
        <v>64</v>
      </c>
      <c r="E213" t="s">
        <v>65</v>
      </c>
      <c r="F213" t="s">
        <v>18</v>
      </c>
      <c r="G213" t="s">
        <v>19</v>
      </c>
      <c r="H213" t="s">
        <v>88</v>
      </c>
      <c r="I213" t="s">
        <v>89</v>
      </c>
      <c r="J213" t="s">
        <v>41</v>
      </c>
      <c r="K213" t="s">
        <v>26</v>
      </c>
      <c r="L213">
        <v>1</v>
      </c>
      <c r="M213">
        <v>1</v>
      </c>
      <c r="N213" t="s">
        <v>33</v>
      </c>
      <c r="O213" t="s">
        <v>33</v>
      </c>
      <c r="P213" t="s">
        <v>25</v>
      </c>
      <c r="Q213">
        <v>6198</v>
      </c>
    </row>
    <row r="214" spans="1:21" x14ac:dyDescent="0.35">
      <c r="A214" t="s">
        <v>90</v>
      </c>
      <c r="B214">
        <v>9</v>
      </c>
      <c r="C214" t="s">
        <v>40</v>
      </c>
      <c r="D214" t="s">
        <v>64</v>
      </c>
      <c r="E214" t="s">
        <v>65</v>
      </c>
      <c r="F214" t="s">
        <v>18</v>
      </c>
      <c r="G214" t="s">
        <v>19</v>
      </c>
      <c r="H214" t="s">
        <v>88</v>
      </c>
      <c r="I214" t="s">
        <v>89</v>
      </c>
      <c r="J214" t="s">
        <v>41</v>
      </c>
      <c r="K214" t="s">
        <v>23</v>
      </c>
      <c r="L214">
        <v>1</v>
      </c>
      <c r="M214">
        <v>1</v>
      </c>
      <c r="N214" t="s">
        <v>34</v>
      </c>
      <c r="O214" t="s">
        <v>34</v>
      </c>
      <c r="P214" t="s">
        <v>25</v>
      </c>
      <c r="Q214">
        <v>11145</v>
      </c>
    </row>
    <row r="215" spans="1:21" x14ac:dyDescent="0.35">
      <c r="A215" t="s">
        <v>90</v>
      </c>
      <c r="B215">
        <v>10</v>
      </c>
      <c r="C215" t="s">
        <v>40</v>
      </c>
      <c r="D215" t="s">
        <v>64</v>
      </c>
      <c r="E215" t="s">
        <v>65</v>
      </c>
      <c r="F215" t="s">
        <v>18</v>
      </c>
      <c r="G215" t="s">
        <v>19</v>
      </c>
      <c r="H215" t="s">
        <v>88</v>
      </c>
      <c r="I215" t="s">
        <v>89</v>
      </c>
      <c r="J215" t="s">
        <v>41</v>
      </c>
      <c r="K215" t="s">
        <v>23</v>
      </c>
      <c r="L215">
        <v>5</v>
      </c>
      <c r="M215">
        <v>1</v>
      </c>
      <c r="N215" t="s">
        <v>35</v>
      </c>
      <c r="O215" t="s">
        <v>35</v>
      </c>
      <c r="P215" t="s">
        <v>25</v>
      </c>
      <c r="Q215">
        <v>42006</v>
      </c>
    </row>
    <row r="216" spans="1:21" x14ac:dyDescent="0.35">
      <c r="A216" t="s">
        <v>90</v>
      </c>
      <c r="B216">
        <v>11</v>
      </c>
      <c r="C216" t="s">
        <v>40</v>
      </c>
      <c r="D216" t="s">
        <v>64</v>
      </c>
      <c r="E216" t="s">
        <v>65</v>
      </c>
      <c r="F216" t="s">
        <v>18</v>
      </c>
      <c r="G216" t="s">
        <v>19</v>
      </c>
      <c r="H216" t="s">
        <v>88</v>
      </c>
      <c r="I216" t="s">
        <v>89</v>
      </c>
      <c r="J216" t="s">
        <v>41</v>
      </c>
      <c r="K216" t="s">
        <v>26</v>
      </c>
      <c r="L216">
        <v>3</v>
      </c>
      <c r="M216">
        <v>1</v>
      </c>
      <c r="N216" t="s">
        <v>36</v>
      </c>
      <c r="O216" t="s">
        <v>49</v>
      </c>
      <c r="P216" t="s">
        <v>43</v>
      </c>
      <c r="Q216">
        <v>13703</v>
      </c>
    </row>
    <row r="217" spans="1:21" x14ac:dyDescent="0.35">
      <c r="A217" t="s">
        <v>90</v>
      </c>
      <c r="B217">
        <v>12</v>
      </c>
      <c r="C217" t="s">
        <v>40</v>
      </c>
      <c r="D217" t="s">
        <v>64</v>
      </c>
      <c r="E217" t="s">
        <v>65</v>
      </c>
      <c r="F217" t="s">
        <v>18</v>
      </c>
      <c r="G217" t="s">
        <v>19</v>
      </c>
      <c r="H217" t="s">
        <v>88</v>
      </c>
      <c r="I217" t="s">
        <v>89</v>
      </c>
      <c r="J217" t="s">
        <v>41</v>
      </c>
      <c r="K217" t="s">
        <v>23</v>
      </c>
      <c r="L217">
        <v>3</v>
      </c>
      <c r="M217">
        <v>1</v>
      </c>
      <c r="N217" t="s">
        <v>37</v>
      </c>
      <c r="O217" t="s">
        <v>37</v>
      </c>
      <c r="P217" t="s">
        <v>25</v>
      </c>
      <c r="Q217">
        <v>27337</v>
      </c>
    </row>
    <row r="218" spans="1:21" x14ac:dyDescent="0.35">
      <c r="A218" t="s">
        <v>91</v>
      </c>
      <c r="B218">
        <v>1</v>
      </c>
      <c r="C218" t="s">
        <v>15</v>
      </c>
      <c r="D218" t="s">
        <v>64</v>
      </c>
      <c r="E218" t="s">
        <v>65</v>
      </c>
      <c r="F218" t="s">
        <v>18</v>
      </c>
      <c r="G218" t="s">
        <v>68</v>
      </c>
      <c r="H218" t="s">
        <v>20</v>
      </c>
      <c r="I218" t="s">
        <v>66</v>
      </c>
      <c r="J218" t="s">
        <v>41</v>
      </c>
      <c r="K218" t="s">
        <v>23</v>
      </c>
      <c r="L218">
        <v>5</v>
      </c>
      <c r="M218">
        <v>1</v>
      </c>
      <c r="N218" t="s">
        <v>24</v>
      </c>
      <c r="O218" t="s">
        <v>24</v>
      </c>
      <c r="P218" t="s">
        <v>25</v>
      </c>
      <c r="Q218">
        <v>63276</v>
      </c>
    </row>
    <row r="219" spans="1:21" x14ac:dyDescent="0.35">
      <c r="A219" t="s">
        <v>91</v>
      </c>
      <c r="B219">
        <v>2</v>
      </c>
      <c r="C219" t="s">
        <v>15</v>
      </c>
      <c r="D219" t="s">
        <v>64</v>
      </c>
      <c r="E219" t="s">
        <v>65</v>
      </c>
      <c r="F219" t="s">
        <v>18</v>
      </c>
      <c r="G219" t="s">
        <v>68</v>
      </c>
      <c r="H219" t="s">
        <v>20</v>
      </c>
      <c r="I219" t="s">
        <v>66</v>
      </c>
      <c r="J219" t="s">
        <v>41</v>
      </c>
      <c r="K219" t="s">
        <v>26</v>
      </c>
      <c r="L219">
        <v>5</v>
      </c>
      <c r="M219">
        <v>1</v>
      </c>
      <c r="N219" t="s">
        <v>27</v>
      </c>
      <c r="O219" t="s">
        <v>27</v>
      </c>
      <c r="P219" t="s">
        <v>25</v>
      </c>
      <c r="Q219">
        <v>14083</v>
      </c>
      <c r="T219">
        <f>SUM(Q219:Q230)</f>
        <v>246952</v>
      </c>
      <c r="U219">
        <f>T219/1000/60</f>
        <v>4.1158666666666663</v>
      </c>
    </row>
    <row r="220" spans="1:21" x14ac:dyDescent="0.35">
      <c r="A220" t="s">
        <v>91</v>
      </c>
      <c r="B220">
        <v>3</v>
      </c>
      <c r="C220" t="s">
        <v>15</v>
      </c>
      <c r="D220" t="s">
        <v>64</v>
      </c>
      <c r="E220" t="s">
        <v>65</v>
      </c>
      <c r="F220" t="s">
        <v>18</v>
      </c>
      <c r="G220" t="s">
        <v>68</v>
      </c>
      <c r="H220" t="s">
        <v>20</v>
      </c>
      <c r="I220" t="s">
        <v>66</v>
      </c>
      <c r="J220" t="s">
        <v>41</v>
      </c>
      <c r="K220" t="s">
        <v>26</v>
      </c>
      <c r="L220">
        <v>3</v>
      </c>
      <c r="M220">
        <v>1</v>
      </c>
      <c r="N220" t="s">
        <v>28</v>
      </c>
      <c r="O220" t="s">
        <v>28</v>
      </c>
      <c r="P220" t="s">
        <v>25</v>
      </c>
      <c r="Q220">
        <v>23110</v>
      </c>
    </row>
    <row r="221" spans="1:21" x14ac:dyDescent="0.35">
      <c r="A221" t="s">
        <v>91</v>
      </c>
      <c r="B221">
        <v>4</v>
      </c>
      <c r="C221" t="s">
        <v>15</v>
      </c>
      <c r="D221" t="s">
        <v>64</v>
      </c>
      <c r="E221" t="s">
        <v>65</v>
      </c>
      <c r="F221" t="s">
        <v>18</v>
      </c>
      <c r="G221" t="s">
        <v>68</v>
      </c>
      <c r="H221" t="s">
        <v>20</v>
      </c>
      <c r="I221" t="s">
        <v>66</v>
      </c>
      <c r="J221" t="s">
        <v>41</v>
      </c>
      <c r="K221" t="s">
        <v>23</v>
      </c>
      <c r="L221">
        <v>1</v>
      </c>
      <c r="M221">
        <v>1</v>
      </c>
      <c r="N221" t="s">
        <v>29</v>
      </c>
      <c r="O221" t="s">
        <v>29</v>
      </c>
      <c r="P221" t="s">
        <v>25</v>
      </c>
      <c r="Q221">
        <v>10668</v>
      </c>
    </row>
    <row r="222" spans="1:21" x14ac:dyDescent="0.35">
      <c r="A222" t="s">
        <v>91</v>
      </c>
      <c r="B222">
        <v>5</v>
      </c>
      <c r="C222" t="s">
        <v>15</v>
      </c>
      <c r="D222" t="s">
        <v>64</v>
      </c>
      <c r="E222" t="s">
        <v>65</v>
      </c>
      <c r="F222" t="s">
        <v>18</v>
      </c>
      <c r="G222" t="s">
        <v>68</v>
      </c>
      <c r="H222" t="s">
        <v>20</v>
      </c>
      <c r="I222" t="s">
        <v>66</v>
      </c>
      <c r="J222" t="s">
        <v>41</v>
      </c>
      <c r="K222" t="s">
        <v>26</v>
      </c>
      <c r="L222">
        <v>5</v>
      </c>
      <c r="M222">
        <v>1</v>
      </c>
      <c r="N222" t="s">
        <v>30</v>
      </c>
      <c r="O222" t="s">
        <v>30</v>
      </c>
      <c r="P222" t="s">
        <v>25</v>
      </c>
      <c r="Q222">
        <v>10145</v>
      </c>
    </row>
    <row r="223" spans="1:21" x14ac:dyDescent="0.35">
      <c r="A223" t="s">
        <v>91</v>
      </c>
      <c r="B223">
        <v>6</v>
      </c>
      <c r="C223" t="s">
        <v>15</v>
      </c>
      <c r="D223" t="s">
        <v>64</v>
      </c>
      <c r="E223" t="s">
        <v>65</v>
      </c>
      <c r="F223" t="s">
        <v>18</v>
      </c>
      <c r="G223" t="s">
        <v>68</v>
      </c>
      <c r="H223" t="s">
        <v>20</v>
      </c>
      <c r="I223" t="s">
        <v>66</v>
      </c>
      <c r="J223" t="s">
        <v>41</v>
      </c>
      <c r="K223" t="s">
        <v>23</v>
      </c>
      <c r="L223">
        <v>3</v>
      </c>
      <c r="M223">
        <v>1</v>
      </c>
      <c r="N223" t="s">
        <v>31</v>
      </c>
      <c r="O223" t="s">
        <v>31</v>
      </c>
      <c r="P223" t="s">
        <v>25</v>
      </c>
      <c r="Q223">
        <v>26507</v>
      </c>
    </row>
    <row r="224" spans="1:21" x14ac:dyDescent="0.35">
      <c r="A224" t="s">
        <v>91</v>
      </c>
      <c r="B224">
        <v>7</v>
      </c>
      <c r="C224" t="s">
        <v>15</v>
      </c>
      <c r="D224" t="s">
        <v>64</v>
      </c>
      <c r="E224" t="s">
        <v>65</v>
      </c>
      <c r="F224" t="s">
        <v>18</v>
      </c>
      <c r="G224" t="s">
        <v>68</v>
      </c>
      <c r="H224" t="s">
        <v>20</v>
      </c>
      <c r="I224" t="s">
        <v>66</v>
      </c>
      <c r="J224" t="s">
        <v>41</v>
      </c>
      <c r="K224" t="s">
        <v>26</v>
      </c>
      <c r="L224">
        <v>1</v>
      </c>
      <c r="M224">
        <v>1</v>
      </c>
      <c r="N224" t="s">
        <v>32</v>
      </c>
      <c r="O224" t="s">
        <v>32</v>
      </c>
      <c r="P224" t="s">
        <v>25</v>
      </c>
      <c r="Q224">
        <v>5844</v>
      </c>
    </row>
    <row r="225" spans="1:21" x14ac:dyDescent="0.35">
      <c r="A225" t="s">
        <v>91</v>
      </c>
      <c r="B225">
        <v>8</v>
      </c>
      <c r="C225" t="s">
        <v>15</v>
      </c>
      <c r="D225" t="s">
        <v>64</v>
      </c>
      <c r="E225" t="s">
        <v>65</v>
      </c>
      <c r="F225" t="s">
        <v>18</v>
      </c>
      <c r="G225" t="s">
        <v>68</v>
      </c>
      <c r="H225" t="s">
        <v>20</v>
      </c>
      <c r="I225" t="s">
        <v>66</v>
      </c>
      <c r="J225" t="s">
        <v>41</v>
      </c>
      <c r="K225" t="s">
        <v>26</v>
      </c>
      <c r="L225">
        <v>1</v>
      </c>
      <c r="M225">
        <v>1</v>
      </c>
      <c r="N225" t="s">
        <v>33</v>
      </c>
      <c r="O225" t="s">
        <v>33</v>
      </c>
      <c r="P225" t="s">
        <v>25</v>
      </c>
      <c r="Q225">
        <v>4084</v>
      </c>
    </row>
    <row r="226" spans="1:21" x14ac:dyDescent="0.35">
      <c r="A226" t="s">
        <v>91</v>
      </c>
      <c r="B226">
        <v>9</v>
      </c>
      <c r="C226" t="s">
        <v>15</v>
      </c>
      <c r="D226" t="s">
        <v>64</v>
      </c>
      <c r="E226" t="s">
        <v>65</v>
      </c>
      <c r="F226" t="s">
        <v>18</v>
      </c>
      <c r="G226" t="s">
        <v>68</v>
      </c>
      <c r="H226" t="s">
        <v>20</v>
      </c>
      <c r="I226" t="s">
        <v>66</v>
      </c>
      <c r="J226" t="s">
        <v>41</v>
      </c>
      <c r="K226" t="s">
        <v>23</v>
      </c>
      <c r="L226">
        <v>1</v>
      </c>
      <c r="M226">
        <v>1</v>
      </c>
      <c r="N226" t="s">
        <v>34</v>
      </c>
      <c r="O226" t="s">
        <v>34</v>
      </c>
      <c r="P226" t="s">
        <v>25</v>
      </c>
      <c r="Q226">
        <v>10124</v>
      </c>
    </row>
    <row r="227" spans="1:21" x14ac:dyDescent="0.35">
      <c r="A227" t="s">
        <v>91</v>
      </c>
      <c r="B227">
        <v>10</v>
      </c>
      <c r="C227" t="s">
        <v>15</v>
      </c>
      <c r="D227" t="s">
        <v>64</v>
      </c>
      <c r="E227" t="s">
        <v>65</v>
      </c>
      <c r="F227" t="s">
        <v>18</v>
      </c>
      <c r="G227" t="s">
        <v>68</v>
      </c>
      <c r="H227" t="s">
        <v>20</v>
      </c>
      <c r="I227" t="s">
        <v>66</v>
      </c>
      <c r="J227" t="s">
        <v>41</v>
      </c>
      <c r="K227" t="s">
        <v>23</v>
      </c>
      <c r="L227">
        <v>5</v>
      </c>
      <c r="M227">
        <v>1</v>
      </c>
      <c r="N227" t="s">
        <v>35</v>
      </c>
      <c r="O227" t="s">
        <v>35</v>
      </c>
      <c r="P227" t="s">
        <v>25</v>
      </c>
      <c r="Q227">
        <v>79112</v>
      </c>
    </row>
    <row r="228" spans="1:21" x14ac:dyDescent="0.35">
      <c r="A228" t="s">
        <v>91</v>
      </c>
      <c r="B228">
        <v>11</v>
      </c>
      <c r="C228" t="s">
        <v>15</v>
      </c>
      <c r="D228" t="s">
        <v>64</v>
      </c>
      <c r="E228" t="s">
        <v>65</v>
      </c>
      <c r="F228" t="s">
        <v>18</v>
      </c>
      <c r="G228" t="s">
        <v>68</v>
      </c>
      <c r="H228" t="s">
        <v>20</v>
      </c>
      <c r="I228" t="s">
        <v>66</v>
      </c>
      <c r="J228" t="s">
        <v>41</v>
      </c>
      <c r="K228" t="s">
        <v>26</v>
      </c>
      <c r="L228">
        <v>3</v>
      </c>
      <c r="M228">
        <v>1</v>
      </c>
      <c r="N228" t="s">
        <v>36</v>
      </c>
      <c r="O228" t="s">
        <v>36</v>
      </c>
      <c r="P228" t="s">
        <v>25</v>
      </c>
      <c r="Q228">
        <v>6212</v>
      </c>
    </row>
    <row r="229" spans="1:21" x14ac:dyDescent="0.35">
      <c r="A229" t="s">
        <v>91</v>
      </c>
      <c r="B229">
        <v>12</v>
      </c>
      <c r="C229" t="s">
        <v>15</v>
      </c>
      <c r="D229" t="s">
        <v>64</v>
      </c>
      <c r="E229" t="s">
        <v>65</v>
      </c>
      <c r="F229" t="s">
        <v>18</v>
      </c>
      <c r="G229" t="s">
        <v>68</v>
      </c>
      <c r="H229" t="s">
        <v>20</v>
      </c>
      <c r="I229" t="s">
        <v>66</v>
      </c>
      <c r="J229" t="s">
        <v>41</v>
      </c>
      <c r="K229" t="s">
        <v>23</v>
      </c>
      <c r="L229">
        <v>3</v>
      </c>
      <c r="M229">
        <v>1</v>
      </c>
      <c r="N229" t="s">
        <v>37</v>
      </c>
      <c r="O229" t="s">
        <v>37</v>
      </c>
      <c r="P229" t="s">
        <v>25</v>
      </c>
      <c r="Q229">
        <v>26754</v>
      </c>
    </row>
    <row r="230" spans="1:21" x14ac:dyDescent="0.35">
      <c r="A230" t="s">
        <v>92</v>
      </c>
      <c r="B230">
        <v>1</v>
      </c>
      <c r="C230" t="s">
        <v>40</v>
      </c>
      <c r="D230" t="s">
        <v>64</v>
      </c>
      <c r="E230" t="s">
        <v>65</v>
      </c>
      <c r="F230" t="s">
        <v>18</v>
      </c>
      <c r="G230" t="s">
        <v>54</v>
      </c>
      <c r="H230" t="s">
        <v>55</v>
      </c>
      <c r="I230" t="s">
        <v>78</v>
      </c>
      <c r="J230" t="s">
        <v>41</v>
      </c>
      <c r="K230" t="s">
        <v>23</v>
      </c>
      <c r="L230">
        <v>5</v>
      </c>
      <c r="M230">
        <v>1</v>
      </c>
      <c r="N230" t="s">
        <v>24</v>
      </c>
      <c r="O230" t="s">
        <v>24</v>
      </c>
      <c r="P230" t="s">
        <v>25</v>
      </c>
      <c r="Q230">
        <v>30309</v>
      </c>
      <c r="T230">
        <f>SUM(Q230:Q241)</f>
        <v>161987</v>
      </c>
      <c r="U230">
        <f>T230/1000/60</f>
        <v>2.6997833333333334</v>
      </c>
    </row>
    <row r="231" spans="1:21" x14ac:dyDescent="0.35">
      <c r="A231" t="s">
        <v>92</v>
      </c>
      <c r="B231">
        <v>2</v>
      </c>
      <c r="C231" t="s">
        <v>40</v>
      </c>
      <c r="D231" t="s">
        <v>64</v>
      </c>
      <c r="E231" t="s">
        <v>65</v>
      </c>
      <c r="F231" t="s">
        <v>18</v>
      </c>
      <c r="G231" t="s">
        <v>54</v>
      </c>
      <c r="H231" t="s">
        <v>55</v>
      </c>
      <c r="I231" t="s">
        <v>78</v>
      </c>
      <c r="J231" t="s">
        <v>41</v>
      </c>
      <c r="K231" t="s">
        <v>26</v>
      </c>
      <c r="L231">
        <v>5</v>
      </c>
      <c r="M231">
        <v>1</v>
      </c>
      <c r="N231" t="s">
        <v>27</v>
      </c>
      <c r="O231" t="s">
        <v>27</v>
      </c>
      <c r="P231" t="s">
        <v>25</v>
      </c>
      <c r="Q231">
        <v>16665</v>
      </c>
    </row>
    <row r="232" spans="1:21" x14ac:dyDescent="0.35">
      <c r="A232" t="s">
        <v>92</v>
      </c>
      <c r="B232">
        <v>3</v>
      </c>
      <c r="C232" t="s">
        <v>40</v>
      </c>
      <c r="D232" t="s">
        <v>64</v>
      </c>
      <c r="E232" t="s">
        <v>65</v>
      </c>
      <c r="F232" t="s">
        <v>18</v>
      </c>
      <c r="G232" t="s">
        <v>54</v>
      </c>
      <c r="H232" t="s">
        <v>55</v>
      </c>
      <c r="I232" t="s">
        <v>78</v>
      </c>
      <c r="J232" t="s">
        <v>41</v>
      </c>
      <c r="K232" t="s">
        <v>26</v>
      </c>
      <c r="L232">
        <v>3</v>
      </c>
      <c r="M232">
        <v>1</v>
      </c>
      <c r="N232" t="s">
        <v>28</v>
      </c>
      <c r="O232" t="s">
        <v>28</v>
      </c>
      <c r="P232" t="s">
        <v>25</v>
      </c>
      <c r="Q232">
        <v>10415</v>
      </c>
    </row>
    <row r="233" spans="1:21" x14ac:dyDescent="0.35">
      <c r="A233" t="s">
        <v>92</v>
      </c>
      <c r="B233">
        <v>4</v>
      </c>
      <c r="C233" t="s">
        <v>40</v>
      </c>
      <c r="D233" t="s">
        <v>64</v>
      </c>
      <c r="E233" t="s">
        <v>65</v>
      </c>
      <c r="F233" t="s">
        <v>18</v>
      </c>
      <c r="G233" t="s">
        <v>54</v>
      </c>
      <c r="H233" t="s">
        <v>55</v>
      </c>
      <c r="I233" t="s">
        <v>78</v>
      </c>
      <c r="J233" t="s">
        <v>41</v>
      </c>
      <c r="K233" t="s">
        <v>23</v>
      </c>
      <c r="L233">
        <v>1</v>
      </c>
      <c r="M233">
        <v>1</v>
      </c>
      <c r="N233" t="s">
        <v>29</v>
      </c>
      <c r="O233" t="s">
        <v>29</v>
      </c>
      <c r="P233" t="s">
        <v>25</v>
      </c>
      <c r="Q233">
        <v>5019</v>
      </c>
    </row>
    <row r="234" spans="1:21" x14ac:dyDescent="0.35">
      <c r="A234" t="s">
        <v>92</v>
      </c>
      <c r="B234">
        <v>5</v>
      </c>
      <c r="C234" t="s">
        <v>40</v>
      </c>
      <c r="D234" t="s">
        <v>64</v>
      </c>
      <c r="E234" t="s">
        <v>65</v>
      </c>
      <c r="F234" t="s">
        <v>18</v>
      </c>
      <c r="G234" t="s">
        <v>54</v>
      </c>
      <c r="H234" t="s">
        <v>55</v>
      </c>
      <c r="I234" t="s">
        <v>78</v>
      </c>
      <c r="J234" t="s">
        <v>41</v>
      </c>
      <c r="K234" t="s">
        <v>26</v>
      </c>
      <c r="L234">
        <v>5</v>
      </c>
      <c r="M234">
        <v>1</v>
      </c>
      <c r="N234" t="s">
        <v>30</v>
      </c>
      <c r="O234" t="s">
        <v>30</v>
      </c>
      <c r="P234" t="s">
        <v>25</v>
      </c>
      <c r="Q234">
        <v>12422</v>
      </c>
    </row>
    <row r="235" spans="1:21" x14ac:dyDescent="0.35">
      <c r="A235" t="s">
        <v>92</v>
      </c>
      <c r="B235">
        <v>6</v>
      </c>
      <c r="C235" t="s">
        <v>40</v>
      </c>
      <c r="D235" t="s">
        <v>64</v>
      </c>
      <c r="E235" t="s">
        <v>65</v>
      </c>
      <c r="F235" t="s">
        <v>18</v>
      </c>
      <c r="G235" t="s">
        <v>54</v>
      </c>
      <c r="H235" t="s">
        <v>55</v>
      </c>
      <c r="I235" t="s">
        <v>78</v>
      </c>
      <c r="J235" t="s">
        <v>41</v>
      </c>
      <c r="K235" t="s">
        <v>23</v>
      </c>
      <c r="L235">
        <v>3</v>
      </c>
      <c r="M235">
        <v>1</v>
      </c>
      <c r="N235" t="s">
        <v>31</v>
      </c>
      <c r="O235" t="s">
        <v>31</v>
      </c>
      <c r="P235" t="s">
        <v>25</v>
      </c>
      <c r="Q235">
        <v>17499</v>
      </c>
    </row>
    <row r="236" spans="1:21" x14ac:dyDescent="0.35">
      <c r="A236" t="s">
        <v>92</v>
      </c>
      <c r="B236">
        <v>7</v>
      </c>
      <c r="C236" t="s">
        <v>40</v>
      </c>
      <c r="D236" t="s">
        <v>64</v>
      </c>
      <c r="E236" t="s">
        <v>65</v>
      </c>
      <c r="F236" t="s">
        <v>18</v>
      </c>
      <c r="G236" t="s">
        <v>54</v>
      </c>
      <c r="H236" t="s">
        <v>55</v>
      </c>
      <c r="I236" t="s">
        <v>78</v>
      </c>
      <c r="J236" t="s">
        <v>41</v>
      </c>
      <c r="K236" t="s">
        <v>26</v>
      </c>
      <c r="L236">
        <v>1</v>
      </c>
      <c r="M236">
        <v>1</v>
      </c>
      <c r="N236" t="s">
        <v>32</v>
      </c>
      <c r="O236" t="s">
        <v>32</v>
      </c>
      <c r="P236" t="s">
        <v>25</v>
      </c>
      <c r="Q236">
        <v>3915</v>
      </c>
    </row>
    <row r="237" spans="1:21" x14ac:dyDescent="0.35">
      <c r="A237" t="s">
        <v>92</v>
      </c>
      <c r="B237">
        <v>8</v>
      </c>
      <c r="C237" t="s">
        <v>40</v>
      </c>
      <c r="D237" t="s">
        <v>64</v>
      </c>
      <c r="E237" t="s">
        <v>65</v>
      </c>
      <c r="F237" t="s">
        <v>18</v>
      </c>
      <c r="G237" t="s">
        <v>54</v>
      </c>
      <c r="H237" t="s">
        <v>55</v>
      </c>
      <c r="I237" t="s">
        <v>78</v>
      </c>
      <c r="J237" t="s">
        <v>41</v>
      </c>
      <c r="K237" t="s">
        <v>26</v>
      </c>
      <c r="L237">
        <v>1</v>
      </c>
      <c r="M237">
        <v>1</v>
      </c>
      <c r="N237" t="s">
        <v>33</v>
      </c>
      <c r="O237" t="s">
        <v>33</v>
      </c>
      <c r="P237" t="s">
        <v>25</v>
      </c>
      <c r="Q237">
        <v>5323</v>
      </c>
    </row>
    <row r="238" spans="1:21" x14ac:dyDescent="0.35">
      <c r="A238" t="s">
        <v>92</v>
      </c>
      <c r="B238">
        <v>9</v>
      </c>
      <c r="C238" t="s">
        <v>40</v>
      </c>
      <c r="D238" t="s">
        <v>64</v>
      </c>
      <c r="E238" t="s">
        <v>65</v>
      </c>
      <c r="F238" t="s">
        <v>18</v>
      </c>
      <c r="G238" t="s">
        <v>54</v>
      </c>
      <c r="H238" t="s">
        <v>55</v>
      </c>
      <c r="I238" t="s">
        <v>78</v>
      </c>
      <c r="J238" t="s">
        <v>41</v>
      </c>
      <c r="K238" t="s">
        <v>23</v>
      </c>
      <c r="L238">
        <v>1</v>
      </c>
      <c r="M238">
        <v>1</v>
      </c>
      <c r="N238" t="s">
        <v>34</v>
      </c>
      <c r="O238" t="s">
        <v>34</v>
      </c>
      <c r="P238" t="s">
        <v>25</v>
      </c>
      <c r="Q238">
        <v>6565</v>
      </c>
    </row>
    <row r="239" spans="1:21" x14ac:dyDescent="0.35">
      <c r="A239" t="s">
        <v>92</v>
      </c>
      <c r="B239">
        <v>10</v>
      </c>
      <c r="C239" t="s">
        <v>40</v>
      </c>
      <c r="D239" t="s">
        <v>64</v>
      </c>
      <c r="E239" t="s">
        <v>65</v>
      </c>
      <c r="F239" t="s">
        <v>18</v>
      </c>
      <c r="G239" t="s">
        <v>54</v>
      </c>
      <c r="H239" t="s">
        <v>55</v>
      </c>
      <c r="I239" t="s">
        <v>78</v>
      </c>
      <c r="J239" t="s">
        <v>41</v>
      </c>
      <c r="K239" t="s">
        <v>23</v>
      </c>
      <c r="L239">
        <v>5</v>
      </c>
      <c r="M239">
        <v>1</v>
      </c>
      <c r="N239" t="s">
        <v>35</v>
      </c>
      <c r="O239" t="s">
        <v>35</v>
      </c>
      <c r="P239" t="s">
        <v>25</v>
      </c>
      <c r="Q239">
        <v>27311</v>
      </c>
    </row>
    <row r="240" spans="1:21" x14ac:dyDescent="0.35">
      <c r="A240" t="s">
        <v>92</v>
      </c>
      <c r="B240">
        <v>11</v>
      </c>
      <c r="C240" t="s">
        <v>40</v>
      </c>
      <c r="D240" t="s">
        <v>64</v>
      </c>
      <c r="E240" t="s">
        <v>65</v>
      </c>
      <c r="F240" t="s">
        <v>18</v>
      </c>
      <c r="G240" t="s">
        <v>54</v>
      </c>
      <c r="H240" t="s">
        <v>55</v>
      </c>
      <c r="I240" t="s">
        <v>78</v>
      </c>
      <c r="J240" t="s">
        <v>41</v>
      </c>
      <c r="K240" t="s">
        <v>26</v>
      </c>
      <c r="L240">
        <v>3</v>
      </c>
      <c r="M240">
        <v>1</v>
      </c>
      <c r="N240" t="s">
        <v>36</v>
      </c>
      <c r="O240" t="s">
        <v>36</v>
      </c>
      <c r="P240" t="s">
        <v>25</v>
      </c>
      <c r="Q240">
        <v>11690</v>
      </c>
    </row>
    <row r="241" spans="1:21" x14ac:dyDescent="0.35">
      <c r="A241" t="s">
        <v>92</v>
      </c>
      <c r="B241">
        <v>12</v>
      </c>
      <c r="C241" t="s">
        <v>40</v>
      </c>
      <c r="D241" t="s">
        <v>64</v>
      </c>
      <c r="E241" t="s">
        <v>65</v>
      </c>
      <c r="F241" t="s">
        <v>18</v>
      </c>
      <c r="G241" t="s">
        <v>54</v>
      </c>
      <c r="H241" t="s">
        <v>55</v>
      </c>
      <c r="I241" t="s">
        <v>78</v>
      </c>
      <c r="J241" t="s">
        <v>41</v>
      </c>
      <c r="K241" t="s">
        <v>23</v>
      </c>
      <c r="L241">
        <v>3</v>
      </c>
      <c r="M241">
        <v>1</v>
      </c>
      <c r="N241" t="s">
        <v>37</v>
      </c>
      <c r="O241" t="s">
        <v>37</v>
      </c>
      <c r="P241" t="s">
        <v>25</v>
      </c>
      <c r="Q241">
        <v>14854</v>
      </c>
    </row>
    <row r="242" spans="1:21" x14ac:dyDescent="0.35">
      <c r="A242" t="s">
        <v>94</v>
      </c>
      <c r="B242">
        <v>1</v>
      </c>
      <c r="C242" t="s">
        <v>40</v>
      </c>
      <c r="D242" t="s">
        <v>16</v>
      </c>
      <c r="E242" t="s">
        <v>17</v>
      </c>
      <c r="F242" t="s">
        <v>53</v>
      </c>
      <c r="G242" t="s">
        <v>54</v>
      </c>
      <c r="H242" t="s">
        <v>20</v>
      </c>
      <c r="I242" t="s">
        <v>21</v>
      </c>
      <c r="J242" t="s">
        <v>41</v>
      </c>
      <c r="K242" t="s">
        <v>23</v>
      </c>
      <c r="L242">
        <v>5</v>
      </c>
      <c r="M242">
        <v>2</v>
      </c>
      <c r="N242" t="s">
        <v>24</v>
      </c>
      <c r="O242" t="s">
        <v>24</v>
      </c>
      <c r="P242" t="s">
        <v>25</v>
      </c>
      <c r="Q242">
        <v>89392</v>
      </c>
      <c r="R242" t="s">
        <v>93</v>
      </c>
      <c r="S242">
        <v>76448</v>
      </c>
      <c r="T242">
        <f>SUM(Q242:Q253)</f>
        <v>321386</v>
      </c>
      <c r="U242">
        <f>T242/1000/60</f>
        <v>5.3564333333333334</v>
      </c>
    </row>
    <row r="243" spans="1:21" x14ac:dyDescent="0.35">
      <c r="A243" t="s">
        <v>94</v>
      </c>
      <c r="B243">
        <v>2</v>
      </c>
      <c r="C243" t="s">
        <v>40</v>
      </c>
      <c r="D243" t="s">
        <v>16</v>
      </c>
      <c r="E243" t="s">
        <v>17</v>
      </c>
      <c r="F243" t="s">
        <v>53</v>
      </c>
      <c r="G243" t="s">
        <v>54</v>
      </c>
      <c r="H243" t="s">
        <v>20</v>
      </c>
      <c r="I243" t="s">
        <v>21</v>
      </c>
      <c r="J243" t="s">
        <v>41</v>
      </c>
      <c r="K243" t="s">
        <v>26</v>
      </c>
      <c r="L243">
        <v>5</v>
      </c>
      <c r="M243">
        <v>1</v>
      </c>
      <c r="N243" t="s">
        <v>27</v>
      </c>
      <c r="O243" t="s">
        <v>27</v>
      </c>
      <c r="P243" t="s">
        <v>25</v>
      </c>
      <c r="Q243">
        <v>27129</v>
      </c>
    </row>
    <row r="244" spans="1:21" x14ac:dyDescent="0.35">
      <c r="A244" t="s">
        <v>94</v>
      </c>
      <c r="B244">
        <v>3</v>
      </c>
      <c r="C244" t="s">
        <v>40</v>
      </c>
      <c r="D244" t="s">
        <v>16</v>
      </c>
      <c r="E244" t="s">
        <v>17</v>
      </c>
      <c r="F244" t="s">
        <v>53</v>
      </c>
      <c r="G244" t="s">
        <v>54</v>
      </c>
      <c r="H244" t="s">
        <v>20</v>
      </c>
      <c r="I244" t="s">
        <v>21</v>
      </c>
      <c r="J244" t="s">
        <v>41</v>
      </c>
      <c r="K244" t="s">
        <v>26</v>
      </c>
      <c r="L244">
        <v>3</v>
      </c>
      <c r="M244">
        <v>1</v>
      </c>
      <c r="N244" t="s">
        <v>28</v>
      </c>
      <c r="O244" t="s">
        <v>28</v>
      </c>
      <c r="P244" t="s">
        <v>25</v>
      </c>
      <c r="Q244">
        <v>17263</v>
      </c>
    </row>
    <row r="245" spans="1:21" x14ac:dyDescent="0.35">
      <c r="A245" t="s">
        <v>94</v>
      </c>
      <c r="B245">
        <v>4</v>
      </c>
      <c r="C245" t="s">
        <v>40</v>
      </c>
      <c r="D245" t="s">
        <v>16</v>
      </c>
      <c r="E245" t="s">
        <v>17</v>
      </c>
      <c r="F245" t="s">
        <v>53</v>
      </c>
      <c r="G245" t="s">
        <v>54</v>
      </c>
      <c r="H245" t="s">
        <v>20</v>
      </c>
      <c r="I245" t="s">
        <v>21</v>
      </c>
      <c r="J245" t="s">
        <v>41</v>
      </c>
      <c r="K245" t="s">
        <v>23</v>
      </c>
      <c r="L245">
        <v>1</v>
      </c>
      <c r="M245">
        <v>1</v>
      </c>
      <c r="N245" t="s">
        <v>29</v>
      </c>
      <c r="O245" t="s">
        <v>29</v>
      </c>
      <c r="P245" t="s">
        <v>25</v>
      </c>
      <c r="Q245">
        <v>13512</v>
      </c>
    </row>
    <row r="246" spans="1:21" x14ac:dyDescent="0.35">
      <c r="A246" t="s">
        <v>94</v>
      </c>
      <c r="B246">
        <v>5</v>
      </c>
      <c r="C246" t="s">
        <v>40</v>
      </c>
      <c r="D246" t="s">
        <v>16</v>
      </c>
      <c r="E246" t="s">
        <v>17</v>
      </c>
      <c r="F246" t="s">
        <v>53</v>
      </c>
      <c r="G246" t="s">
        <v>54</v>
      </c>
      <c r="H246" t="s">
        <v>20</v>
      </c>
      <c r="I246" t="s">
        <v>21</v>
      </c>
      <c r="J246" t="s">
        <v>41</v>
      </c>
      <c r="K246" t="s">
        <v>26</v>
      </c>
      <c r="L246">
        <v>5</v>
      </c>
      <c r="M246">
        <v>1</v>
      </c>
      <c r="N246" t="s">
        <v>30</v>
      </c>
      <c r="O246" t="s">
        <v>30</v>
      </c>
      <c r="P246" t="s">
        <v>25</v>
      </c>
      <c r="Q246">
        <v>26728</v>
      </c>
    </row>
    <row r="247" spans="1:21" x14ac:dyDescent="0.35">
      <c r="A247" t="s">
        <v>94</v>
      </c>
      <c r="B247">
        <v>6</v>
      </c>
      <c r="C247" t="s">
        <v>40</v>
      </c>
      <c r="D247" t="s">
        <v>16</v>
      </c>
      <c r="E247" t="s">
        <v>17</v>
      </c>
      <c r="F247" t="s">
        <v>53</v>
      </c>
      <c r="G247" t="s">
        <v>54</v>
      </c>
      <c r="H247" t="s">
        <v>20</v>
      </c>
      <c r="I247" t="s">
        <v>21</v>
      </c>
      <c r="J247" t="s">
        <v>41</v>
      </c>
      <c r="K247" t="s">
        <v>23</v>
      </c>
      <c r="L247">
        <v>3</v>
      </c>
      <c r="M247">
        <v>1</v>
      </c>
      <c r="N247" t="s">
        <v>31</v>
      </c>
      <c r="O247" t="s">
        <v>31</v>
      </c>
      <c r="P247" t="s">
        <v>25</v>
      </c>
      <c r="Q247">
        <v>32616</v>
      </c>
    </row>
    <row r="248" spans="1:21" x14ac:dyDescent="0.35">
      <c r="A248" t="s">
        <v>94</v>
      </c>
      <c r="B248">
        <v>7</v>
      </c>
      <c r="C248" t="s">
        <v>40</v>
      </c>
      <c r="D248" t="s">
        <v>16</v>
      </c>
      <c r="E248" t="s">
        <v>17</v>
      </c>
      <c r="F248" t="s">
        <v>53</v>
      </c>
      <c r="G248" t="s">
        <v>54</v>
      </c>
      <c r="H248" t="s">
        <v>20</v>
      </c>
      <c r="I248" t="s">
        <v>21</v>
      </c>
      <c r="J248" t="s">
        <v>41</v>
      </c>
      <c r="K248" t="s">
        <v>26</v>
      </c>
      <c r="L248">
        <v>1</v>
      </c>
      <c r="M248">
        <v>1</v>
      </c>
      <c r="N248" t="s">
        <v>32</v>
      </c>
      <c r="O248" t="s">
        <v>32</v>
      </c>
      <c r="P248" t="s">
        <v>25</v>
      </c>
      <c r="Q248">
        <v>6328</v>
      </c>
    </row>
    <row r="249" spans="1:21" x14ac:dyDescent="0.35">
      <c r="A249" t="s">
        <v>94</v>
      </c>
      <c r="B249">
        <v>8</v>
      </c>
      <c r="C249" t="s">
        <v>40</v>
      </c>
      <c r="D249" t="s">
        <v>16</v>
      </c>
      <c r="E249" t="s">
        <v>17</v>
      </c>
      <c r="F249" t="s">
        <v>53</v>
      </c>
      <c r="G249" t="s">
        <v>54</v>
      </c>
      <c r="H249" t="s">
        <v>20</v>
      </c>
      <c r="I249" t="s">
        <v>21</v>
      </c>
      <c r="J249" t="s">
        <v>41</v>
      </c>
      <c r="K249" t="s">
        <v>26</v>
      </c>
      <c r="L249">
        <v>1</v>
      </c>
      <c r="M249">
        <v>1</v>
      </c>
      <c r="N249" t="s">
        <v>33</v>
      </c>
      <c r="O249" t="s">
        <v>33</v>
      </c>
      <c r="P249" t="s">
        <v>25</v>
      </c>
      <c r="Q249">
        <v>9168</v>
      </c>
    </row>
    <row r="250" spans="1:21" x14ac:dyDescent="0.35">
      <c r="A250" t="s">
        <v>94</v>
      </c>
      <c r="B250">
        <v>9</v>
      </c>
      <c r="C250" t="s">
        <v>40</v>
      </c>
      <c r="D250" t="s">
        <v>16</v>
      </c>
      <c r="E250" t="s">
        <v>17</v>
      </c>
      <c r="F250" t="s">
        <v>53</v>
      </c>
      <c r="G250" t="s">
        <v>54</v>
      </c>
      <c r="H250" t="s">
        <v>20</v>
      </c>
      <c r="I250" t="s">
        <v>21</v>
      </c>
      <c r="J250" t="s">
        <v>41</v>
      </c>
      <c r="K250" t="s">
        <v>23</v>
      </c>
      <c r="L250">
        <v>1</v>
      </c>
      <c r="M250">
        <v>1</v>
      </c>
      <c r="N250" t="s">
        <v>34</v>
      </c>
      <c r="O250" t="s">
        <v>34</v>
      </c>
      <c r="P250" t="s">
        <v>25</v>
      </c>
      <c r="Q250">
        <v>11529</v>
      </c>
    </row>
    <row r="251" spans="1:21" x14ac:dyDescent="0.35">
      <c r="A251" t="s">
        <v>94</v>
      </c>
      <c r="B251">
        <v>10</v>
      </c>
      <c r="C251" t="s">
        <v>40</v>
      </c>
      <c r="D251" t="s">
        <v>16</v>
      </c>
      <c r="E251" t="s">
        <v>17</v>
      </c>
      <c r="F251" t="s">
        <v>53</v>
      </c>
      <c r="G251" t="s">
        <v>54</v>
      </c>
      <c r="H251" t="s">
        <v>20</v>
      </c>
      <c r="I251" t="s">
        <v>21</v>
      </c>
      <c r="J251" t="s">
        <v>41</v>
      </c>
      <c r="K251" t="s">
        <v>23</v>
      </c>
      <c r="L251">
        <v>5</v>
      </c>
      <c r="M251">
        <v>1</v>
      </c>
      <c r="N251" t="s">
        <v>35</v>
      </c>
      <c r="O251" t="s">
        <v>35</v>
      </c>
      <c r="P251" t="s">
        <v>25</v>
      </c>
      <c r="Q251">
        <v>43776</v>
      </c>
    </row>
    <row r="252" spans="1:21" x14ac:dyDescent="0.35">
      <c r="A252" t="s">
        <v>94</v>
      </c>
      <c r="B252">
        <v>11</v>
      </c>
      <c r="C252" t="s">
        <v>40</v>
      </c>
      <c r="D252" t="s">
        <v>16</v>
      </c>
      <c r="E252" t="s">
        <v>17</v>
      </c>
      <c r="F252" t="s">
        <v>53</v>
      </c>
      <c r="G252" t="s">
        <v>54</v>
      </c>
      <c r="H252" t="s">
        <v>20</v>
      </c>
      <c r="I252" t="s">
        <v>21</v>
      </c>
      <c r="J252" t="s">
        <v>41</v>
      </c>
      <c r="K252" t="s">
        <v>26</v>
      </c>
      <c r="L252">
        <v>3</v>
      </c>
      <c r="M252">
        <v>1</v>
      </c>
      <c r="N252" t="s">
        <v>36</v>
      </c>
      <c r="O252" t="s">
        <v>36</v>
      </c>
      <c r="P252" t="s">
        <v>25</v>
      </c>
      <c r="Q252">
        <v>15337</v>
      </c>
    </row>
    <row r="253" spans="1:21" x14ac:dyDescent="0.35">
      <c r="A253" t="s">
        <v>94</v>
      </c>
      <c r="B253">
        <v>12</v>
      </c>
      <c r="C253" t="s">
        <v>40</v>
      </c>
      <c r="D253" t="s">
        <v>16</v>
      </c>
      <c r="E253" t="s">
        <v>17</v>
      </c>
      <c r="F253" t="s">
        <v>53</v>
      </c>
      <c r="G253" t="s">
        <v>54</v>
      </c>
      <c r="H253" t="s">
        <v>20</v>
      </c>
      <c r="I253" t="s">
        <v>21</v>
      </c>
      <c r="J253" t="s">
        <v>41</v>
      </c>
      <c r="K253" t="s">
        <v>23</v>
      </c>
      <c r="L253">
        <v>3</v>
      </c>
      <c r="M253">
        <v>1</v>
      </c>
      <c r="N253" t="s">
        <v>37</v>
      </c>
      <c r="O253" t="s">
        <v>37</v>
      </c>
      <c r="P253" t="s">
        <v>25</v>
      </c>
      <c r="Q253">
        <v>28608</v>
      </c>
    </row>
    <row r="254" spans="1:21" x14ac:dyDescent="0.35">
      <c r="A254" t="s">
        <v>101</v>
      </c>
      <c r="B254">
        <v>1</v>
      </c>
      <c r="C254" t="s">
        <v>15</v>
      </c>
      <c r="D254" t="s">
        <v>64</v>
      </c>
      <c r="E254" t="s">
        <v>65</v>
      </c>
      <c r="F254" t="s">
        <v>53</v>
      </c>
      <c r="G254" t="s">
        <v>82</v>
      </c>
      <c r="H254" t="s">
        <v>55</v>
      </c>
      <c r="I254" t="s">
        <v>83</v>
      </c>
      <c r="J254" t="s">
        <v>22</v>
      </c>
      <c r="K254" t="s">
        <v>23</v>
      </c>
      <c r="L254">
        <v>5</v>
      </c>
      <c r="M254">
        <v>1</v>
      </c>
      <c r="N254" t="s">
        <v>24</v>
      </c>
      <c r="O254" t="s">
        <v>24</v>
      </c>
      <c r="P254" t="s">
        <v>25</v>
      </c>
      <c r="Q254">
        <v>51135</v>
      </c>
      <c r="T254">
        <f>SUM(Q254:Q265)</f>
        <v>240646</v>
      </c>
      <c r="U254">
        <f>T254/1000/60</f>
        <v>4.0107666666666661</v>
      </c>
    </row>
    <row r="255" spans="1:21" x14ac:dyDescent="0.35">
      <c r="A255" t="s">
        <v>101</v>
      </c>
      <c r="B255">
        <v>2</v>
      </c>
      <c r="C255" t="s">
        <v>15</v>
      </c>
      <c r="D255" t="s">
        <v>64</v>
      </c>
      <c r="E255" t="s">
        <v>65</v>
      </c>
      <c r="F255" t="s">
        <v>53</v>
      </c>
      <c r="G255" t="s">
        <v>82</v>
      </c>
      <c r="H255" t="s">
        <v>55</v>
      </c>
      <c r="I255" t="s">
        <v>83</v>
      </c>
      <c r="J255" t="s">
        <v>22</v>
      </c>
      <c r="K255" t="s">
        <v>26</v>
      </c>
      <c r="L255">
        <v>5</v>
      </c>
      <c r="M255">
        <v>1</v>
      </c>
      <c r="N255" t="s">
        <v>27</v>
      </c>
      <c r="O255" t="s">
        <v>27</v>
      </c>
      <c r="P255" t="s">
        <v>25</v>
      </c>
      <c r="Q255">
        <v>35645</v>
      </c>
    </row>
    <row r="256" spans="1:21" x14ac:dyDescent="0.35">
      <c r="A256" t="s">
        <v>101</v>
      </c>
      <c r="B256">
        <v>3</v>
      </c>
      <c r="C256" t="s">
        <v>15</v>
      </c>
      <c r="D256" t="s">
        <v>64</v>
      </c>
      <c r="E256" t="s">
        <v>65</v>
      </c>
      <c r="F256" t="s">
        <v>53</v>
      </c>
      <c r="G256" t="s">
        <v>82</v>
      </c>
      <c r="H256" t="s">
        <v>55</v>
      </c>
      <c r="I256" t="s">
        <v>83</v>
      </c>
      <c r="J256" t="s">
        <v>22</v>
      </c>
      <c r="K256" t="s">
        <v>26</v>
      </c>
      <c r="L256">
        <v>3</v>
      </c>
      <c r="M256">
        <v>1</v>
      </c>
      <c r="N256" t="s">
        <v>28</v>
      </c>
      <c r="O256" t="s">
        <v>28</v>
      </c>
      <c r="P256" t="s">
        <v>25</v>
      </c>
      <c r="Q256">
        <v>14114</v>
      </c>
    </row>
    <row r="257" spans="1:24" x14ac:dyDescent="0.35">
      <c r="A257" t="s">
        <v>101</v>
      </c>
      <c r="B257">
        <v>4</v>
      </c>
      <c r="C257" t="s">
        <v>15</v>
      </c>
      <c r="D257" t="s">
        <v>64</v>
      </c>
      <c r="E257" t="s">
        <v>65</v>
      </c>
      <c r="F257" t="s">
        <v>53</v>
      </c>
      <c r="G257" t="s">
        <v>82</v>
      </c>
      <c r="H257" t="s">
        <v>55</v>
      </c>
      <c r="I257" t="s">
        <v>83</v>
      </c>
      <c r="J257" t="s">
        <v>22</v>
      </c>
      <c r="K257" t="s">
        <v>23</v>
      </c>
      <c r="L257">
        <v>1</v>
      </c>
      <c r="M257">
        <v>1</v>
      </c>
      <c r="N257" t="s">
        <v>29</v>
      </c>
      <c r="O257" t="s">
        <v>29</v>
      </c>
      <c r="P257" t="s">
        <v>25</v>
      </c>
      <c r="Q257">
        <v>11894</v>
      </c>
    </row>
    <row r="258" spans="1:24" x14ac:dyDescent="0.35">
      <c r="A258" t="s">
        <v>101</v>
      </c>
      <c r="B258">
        <v>5</v>
      </c>
      <c r="C258" t="s">
        <v>15</v>
      </c>
      <c r="D258" t="s">
        <v>64</v>
      </c>
      <c r="E258" t="s">
        <v>65</v>
      </c>
      <c r="F258" t="s">
        <v>53</v>
      </c>
      <c r="G258" t="s">
        <v>82</v>
      </c>
      <c r="H258" t="s">
        <v>55</v>
      </c>
      <c r="I258" t="s">
        <v>83</v>
      </c>
      <c r="J258" t="s">
        <v>22</v>
      </c>
      <c r="K258" t="s">
        <v>26</v>
      </c>
      <c r="L258">
        <v>5</v>
      </c>
      <c r="M258">
        <v>1</v>
      </c>
      <c r="N258" t="s">
        <v>30</v>
      </c>
      <c r="O258" t="s">
        <v>30</v>
      </c>
      <c r="P258" t="s">
        <v>25</v>
      </c>
      <c r="Q258">
        <v>19496</v>
      </c>
    </row>
    <row r="259" spans="1:24" x14ac:dyDescent="0.35">
      <c r="A259" t="s">
        <v>101</v>
      </c>
      <c r="B259">
        <v>6</v>
      </c>
      <c r="C259" t="s">
        <v>15</v>
      </c>
      <c r="D259" t="s">
        <v>64</v>
      </c>
      <c r="E259" t="s">
        <v>65</v>
      </c>
      <c r="F259" t="s">
        <v>53</v>
      </c>
      <c r="G259" t="s">
        <v>82</v>
      </c>
      <c r="H259" t="s">
        <v>55</v>
      </c>
      <c r="I259" t="s">
        <v>83</v>
      </c>
      <c r="J259" t="s">
        <v>22</v>
      </c>
      <c r="K259" t="s">
        <v>23</v>
      </c>
      <c r="L259">
        <v>3</v>
      </c>
      <c r="M259">
        <v>1</v>
      </c>
      <c r="N259" t="s">
        <v>31</v>
      </c>
      <c r="O259" t="s">
        <v>31</v>
      </c>
      <c r="P259" t="s">
        <v>25</v>
      </c>
      <c r="Q259">
        <v>23551</v>
      </c>
    </row>
    <row r="260" spans="1:24" x14ac:dyDescent="0.35">
      <c r="A260" t="s">
        <v>101</v>
      </c>
      <c r="B260">
        <v>7</v>
      </c>
      <c r="C260" t="s">
        <v>15</v>
      </c>
      <c r="D260" t="s">
        <v>64</v>
      </c>
      <c r="E260" t="s">
        <v>65</v>
      </c>
      <c r="F260" t="s">
        <v>53</v>
      </c>
      <c r="G260" t="s">
        <v>82</v>
      </c>
      <c r="H260" t="s">
        <v>55</v>
      </c>
      <c r="I260" t="s">
        <v>83</v>
      </c>
      <c r="J260" t="s">
        <v>22</v>
      </c>
      <c r="K260" t="s">
        <v>26</v>
      </c>
      <c r="L260">
        <v>1</v>
      </c>
      <c r="M260">
        <v>1</v>
      </c>
      <c r="N260" t="s">
        <v>32</v>
      </c>
      <c r="O260" t="s">
        <v>32</v>
      </c>
      <c r="P260" t="s">
        <v>25</v>
      </c>
      <c r="Q260">
        <v>7372</v>
      </c>
    </row>
    <row r="261" spans="1:24" x14ac:dyDescent="0.35">
      <c r="A261" t="s">
        <v>101</v>
      </c>
      <c r="B261">
        <v>8</v>
      </c>
      <c r="C261" t="s">
        <v>15</v>
      </c>
      <c r="D261" t="s">
        <v>64</v>
      </c>
      <c r="E261" t="s">
        <v>65</v>
      </c>
      <c r="F261" t="s">
        <v>53</v>
      </c>
      <c r="G261" t="s">
        <v>82</v>
      </c>
      <c r="H261" t="s">
        <v>55</v>
      </c>
      <c r="I261" t="s">
        <v>83</v>
      </c>
      <c r="J261" t="s">
        <v>22</v>
      </c>
      <c r="K261" t="s">
        <v>26</v>
      </c>
      <c r="L261">
        <v>1</v>
      </c>
      <c r="M261">
        <v>1</v>
      </c>
      <c r="N261" t="s">
        <v>33</v>
      </c>
      <c r="O261" t="s">
        <v>33</v>
      </c>
      <c r="P261" t="s">
        <v>25</v>
      </c>
      <c r="Q261">
        <v>5578</v>
      </c>
    </row>
    <row r="262" spans="1:24" x14ac:dyDescent="0.35">
      <c r="A262" t="s">
        <v>101</v>
      </c>
      <c r="B262">
        <v>9</v>
      </c>
      <c r="C262" t="s">
        <v>15</v>
      </c>
      <c r="D262" t="s">
        <v>64</v>
      </c>
      <c r="E262" t="s">
        <v>65</v>
      </c>
      <c r="F262" t="s">
        <v>53</v>
      </c>
      <c r="G262" t="s">
        <v>82</v>
      </c>
      <c r="H262" t="s">
        <v>55</v>
      </c>
      <c r="I262" t="s">
        <v>83</v>
      </c>
      <c r="J262" t="s">
        <v>22</v>
      </c>
      <c r="K262" t="s">
        <v>23</v>
      </c>
      <c r="L262">
        <v>1</v>
      </c>
      <c r="M262">
        <v>1</v>
      </c>
      <c r="N262" t="s">
        <v>34</v>
      </c>
      <c r="O262" t="s">
        <v>34</v>
      </c>
      <c r="P262" t="s">
        <v>25</v>
      </c>
      <c r="Q262">
        <v>8775</v>
      </c>
    </row>
    <row r="263" spans="1:24" x14ac:dyDescent="0.35">
      <c r="A263" t="s">
        <v>101</v>
      </c>
      <c r="B263">
        <v>10</v>
      </c>
      <c r="C263" t="s">
        <v>15</v>
      </c>
      <c r="D263" t="s">
        <v>64</v>
      </c>
      <c r="E263" t="s">
        <v>65</v>
      </c>
      <c r="F263" t="s">
        <v>53</v>
      </c>
      <c r="G263" t="s">
        <v>82</v>
      </c>
      <c r="H263" t="s">
        <v>55</v>
      </c>
      <c r="I263" t="s">
        <v>83</v>
      </c>
      <c r="J263" t="s">
        <v>22</v>
      </c>
      <c r="K263" t="s">
        <v>23</v>
      </c>
      <c r="L263">
        <v>5</v>
      </c>
      <c r="M263">
        <v>1</v>
      </c>
      <c r="N263" t="s">
        <v>35</v>
      </c>
      <c r="O263" t="s">
        <v>35</v>
      </c>
      <c r="P263" t="s">
        <v>25</v>
      </c>
      <c r="Q263">
        <v>34801</v>
      </c>
    </row>
    <row r="264" spans="1:24" x14ac:dyDescent="0.35">
      <c r="A264" t="s">
        <v>101</v>
      </c>
      <c r="B264">
        <v>11</v>
      </c>
      <c r="C264" t="s">
        <v>15</v>
      </c>
      <c r="D264" t="s">
        <v>64</v>
      </c>
      <c r="E264" t="s">
        <v>65</v>
      </c>
      <c r="F264" t="s">
        <v>53</v>
      </c>
      <c r="G264" t="s">
        <v>82</v>
      </c>
      <c r="H264" t="s">
        <v>55</v>
      </c>
      <c r="I264" t="s">
        <v>83</v>
      </c>
      <c r="J264" t="s">
        <v>22</v>
      </c>
      <c r="K264" t="s">
        <v>26</v>
      </c>
      <c r="L264">
        <v>3</v>
      </c>
      <c r="M264">
        <v>1</v>
      </c>
      <c r="N264" t="s">
        <v>36</v>
      </c>
      <c r="O264" t="s">
        <v>36</v>
      </c>
      <c r="P264" t="s">
        <v>25</v>
      </c>
      <c r="Q264">
        <v>10182</v>
      </c>
    </row>
    <row r="265" spans="1:24" x14ac:dyDescent="0.35">
      <c r="A265" t="s">
        <v>101</v>
      </c>
      <c r="B265">
        <v>12</v>
      </c>
      <c r="C265" t="s">
        <v>15</v>
      </c>
      <c r="D265" t="s">
        <v>64</v>
      </c>
      <c r="E265" t="s">
        <v>65</v>
      </c>
      <c r="F265" t="s">
        <v>53</v>
      </c>
      <c r="G265" t="s">
        <v>82</v>
      </c>
      <c r="H265" t="s">
        <v>55</v>
      </c>
      <c r="I265" t="s">
        <v>83</v>
      </c>
      <c r="J265" t="s">
        <v>22</v>
      </c>
      <c r="K265" t="s">
        <v>23</v>
      </c>
      <c r="L265">
        <v>3</v>
      </c>
      <c r="M265">
        <v>1</v>
      </c>
      <c r="N265" t="s">
        <v>37</v>
      </c>
      <c r="O265" t="s">
        <v>37</v>
      </c>
      <c r="P265" t="s">
        <v>25</v>
      </c>
      <c r="Q265">
        <v>18103</v>
      </c>
      <c r="V265" t="s">
        <v>125</v>
      </c>
      <c r="W265" t="s">
        <v>126</v>
      </c>
    </row>
    <row r="266" spans="1:24" x14ac:dyDescent="0.35">
      <c r="V266">
        <f>SUM(U:U)/22</f>
        <v>4.7023121212121204</v>
      </c>
      <c r="W266">
        <f>V266/12</f>
        <v>0.39185934343434337</v>
      </c>
      <c r="X266">
        <f>W266*60</f>
        <v>23.511560606060602</v>
      </c>
    </row>
    <row r="267" spans="1:24" x14ac:dyDescent="0.35">
      <c r="V267">
        <f>SUM(U:U)</f>
        <v>103.45086666666666</v>
      </c>
    </row>
    <row r="268" spans="1:24" x14ac:dyDescent="0.35">
      <c r="V268">
        <f>V267/60</f>
        <v>1.7241811111111109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EFCE-58E5-4285-B468-A1E7CDA41338}">
  <dimension ref="A1:S265"/>
  <sheetViews>
    <sheetView topLeftCell="A129" workbookViewId="0">
      <selection activeCell="A2" sqref="A2"/>
    </sheetView>
  </sheetViews>
  <sheetFormatPr baseColWidth="10" defaultRowHeight="14.5" x14ac:dyDescent="0.35"/>
  <sheetData>
    <row r="1" spans="1:17" x14ac:dyDescent="0.35">
      <c r="A1" t="s">
        <v>38</v>
      </c>
      <c r="B1" t="s">
        <v>100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 t="s">
        <v>39</v>
      </c>
      <c r="B2">
        <v>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>
        <v>1</v>
      </c>
      <c r="N2" t="s">
        <v>29</v>
      </c>
      <c r="O2" t="s">
        <v>29</v>
      </c>
      <c r="P2" t="s">
        <v>25</v>
      </c>
      <c r="Q2">
        <v>13940</v>
      </c>
    </row>
    <row r="3" spans="1:17" x14ac:dyDescent="0.35">
      <c r="A3" t="s">
        <v>39</v>
      </c>
      <c r="B3">
        <v>9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1</v>
      </c>
      <c r="M3">
        <v>1</v>
      </c>
      <c r="N3" t="s">
        <v>34</v>
      </c>
      <c r="O3" t="s">
        <v>34</v>
      </c>
      <c r="P3" t="s">
        <v>25</v>
      </c>
      <c r="Q3">
        <v>10858</v>
      </c>
    </row>
    <row r="4" spans="1:17" x14ac:dyDescent="0.35">
      <c r="A4" t="s">
        <v>51</v>
      </c>
      <c r="B4">
        <v>4</v>
      </c>
      <c r="C4" t="s">
        <v>40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41</v>
      </c>
      <c r="K4" t="s">
        <v>23</v>
      </c>
      <c r="L4">
        <v>1</v>
      </c>
      <c r="M4">
        <v>1</v>
      </c>
      <c r="N4" t="s">
        <v>29</v>
      </c>
      <c r="O4" t="s">
        <v>29</v>
      </c>
      <c r="P4" t="s">
        <v>25</v>
      </c>
      <c r="Q4">
        <v>6583</v>
      </c>
    </row>
    <row r="5" spans="1:17" x14ac:dyDescent="0.35">
      <c r="A5" t="s">
        <v>51</v>
      </c>
      <c r="B5">
        <v>9</v>
      </c>
      <c r="C5" t="s">
        <v>40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41</v>
      </c>
      <c r="K5" t="s">
        <v>23</v>
      </c>
      <c r="L5">
        <v>1</v>
      </c>
      <c r="M5">
        <v>1</v>
      </c>
      <c r="N5" t="s">
        <v>34</v>
      </c>
      <c r="O5" t="s">
        <v>34</v>
      </c>
      <c r="P5" t="s">
        <v>25</v>
      </c>
      <c r="Q5">
        <v>7975</v>
      </c>
    </row>
    <row r="6" spans="1:17" x14ac:dyDescent="0.35">
      <c r="A6" t="s">
        <v>58</v>
      </c>
      <c r="B6">
        <v>4</v>
      </c>
      <c r="C6" t="s">
        <v>52</v>
      </c>
      <c r="D6" t="s">
        <v>16</v>
      </c>
      <c r="E6" t="s">
        <v>17</v>
      </c>
      <c r="F6" t="s">
        <v>53</v>
      </c>
      <c r="G6" t="s">
        <v>54</v>
      </c>
      <c r="H6" t="s">
        <v>55</v>
      </c>
      <c r="I6" t="s">
        <v>56</v>
      </c>
      <c r="J6" t="s">
        <v>22</v>
      </c>
      <c r="K6" t="s">
        <v>23</v>
      </c>
      <c r="L6">
        <v>1</v>
      </c>
      <c r="M6">
        <v>1</v>
      </c>
      <c r="N6" t="s">
        <v>29</v>
      </c>
      <c r="O6" t="s">
        <v>29</v>
      </c>
      <c r="P6" t="s">
        <v>25</v>
      </c>
      <c r="Q6">
        <v>11960</v>
      </c>
    </row>
    <row r="7" spans="1:17" x14ac:dyDescent="0.35">
      <c r="A7" t="s">
        <v>58</v>
      </c>
      <c r="B7">
        <v>9</v>
      </c>
      <c r="C7" t="s">
        <v>52</v>
      </c>
      <c r="D7" t="s">
        <v>16</v>
      </c>
      <c r="E7" t="s">
        <v>17</v>
      </c>
      <c r="F7" t="s">
        <v>53</v>
      </c>
      <c r="G7" t="s">
        <v>54</v>
      </c>
      <c r="H7" t="s">
        <v>55</v>
      </c>
      <c r="I7" t="s">
        <v>56</v>
      </c>
      <c r="J7" t="s">
        <v>22</v>
      </c>
      <c r="K7" t="s">
        <v>23</v>
      </c>
      <c r="L7">
        <v>1</v>
      </c>
      <c r="M7">
        <v>1</v>
      </c>
      <c r="N7" t="s">
        <v>34</v>
      </c>
      <c r="O7" t="s">
        <v>34</v>
      </c>
      <c r="P7" t="s">
        <v>25</v>
      </c>
      <c r="Q7">
        <v>10979</v>
      </c>
    </row>
    <row r="8" spans="1:17" x14ac:dyDescent="0.35">
      <c r="A8" t="s">
        <v>60</v>
      </c>
      <c r="B8">
        <v>4</v>
      </c>
      <c r="C8" t="s">
        <v>59</v>
      </c>
      <c r="D8" t="s">
        <v>16</v>
      </c>
      <c r="E8" t="s">
        <v>17</v>
      </c>
      <c r="F8" t="s">
        <v>18</v>
      </c>
      <c r="G8" t="s">
        <v>54</v>
      </c>
      <c r="H8" t="s">
        <v>55</v>
      </c>
      <c r="I8" t="s">
        <v>21</v>
      </c>
      <c r="J8" t="s">
        <v>22</v>
      </c>
      <c r="K8" t="s">
        <v>23</v>
      </c>
      <c r="L8">
        <v>1</v>
      </c>
      <c r="M8">
        <v>1</v>
      </c>
      <c r="N8" t="s">
        <v>29</v>
      </c>
      <c r="O8" t="s">
        <v>29</v>
      </c>
      <c r="P8" t="s">
        <v>25</v>
      </c>
      <c r="Q8">
        <v>12595</v>
      </c>
    </row>
    <row r="9" spans="1:17" x14ac:dyDescent="0.35">
      <c r="A9" t="s">
        <v>60</v>
      </c>
      <c r="B9">
        <v>9</v>
      </c>
      <c r="C9" t="s">
        <v>59</v>
      </c>
      <c r="D9" t="s">
        <v>16</v>
      </c>
      <c r="E9" t="s">
        <v>17</v>
      </c>
      <c r="F9" t="s">
        <v>18</v>
      </c>
      <c r="G9" t="s">
        <v>54</v>
      </c>
      <c r="H9" t="s">
        <v>55</v>
      </c>
      <c r="I9" t="s">
        <v>21</v>
      </c>
      <c r="J9" t="s">
        <v>22</v>
      </c>
      <c r="K9" t="s">
        <v>23</v>
      </c>
      <c r="L9">
        <v>1</v>
      </c>
      <c r="M9">
        <v>1</v>
      </c>
      <c r="N9" t="s">
        <v>34</v>
      </c>
      <c r="O9" t="s">
        <v>34</v>
      </c>
      <c r="P9" t="s">
        <v>25</v>
      </c>
      <c r="Q9">
        <v>9823</v>
      </c>
    </row>
    <row r="10" spans="1:17" x14ac:dyDescent="0.35">
      <c r="A10" t="s">
        <v>62</v>
      </c>
      <c r="B10">
        <v>4</v>
      </c>
      <c r="C10" t="s">
        <v>15</v>
      </c>
      <c r="D10" t="s">
        <v>16</v>
      </c>
      <c r="E10" t="s">
        <v>17</v>
      </c>
      <c r="F10" t="s">
        <v>53</v>
      </c>
      <c r="G10" t="s">
        <v>72</v>
      </c>
      <c r="H10" t="s">
        <v>20</v>
      </c>
      <c r="I10" t="s">
        <v>21</v>
      </c>
      <c r="J10" t="s">
        <v>41</v>
      </c>
      <c r="K10" t="s">
        <v>23</v>
      </c>
      <c r="L10">
        <v>1</v>
      </c>
      <c r="M10">
        <v>1</v>
      </c>
      <c r="N10" t="s">
        <v>29</v>
      </c>
      <c r="O10" t="s">
        <v>29</v>
      </c>
      <c r="P10" t="s">
        <v>25</v>
      </c>
      <c r="Q10">
        <v>14093</v>
      </c>
    </row>
    <row r="11" spans="1:17" x14ac:dyDescent="0.35">
      <c r="A11" t="s">
        <v>62</v>
      </c>
      <c r="B11">
        <v>9</v>
      </c>
      <c r="C11" t="s">
        <v>15</v>
      </c>
      <c r="D11" t="s">
        <v>16</v>
      </c>
      <c r="E11" t="s">
        <v>17</v>
      </c>
      <c r="F11" t="s">
        <v>53</v>
      </c>
      <c r="G11" t="s">
        <v>72</v>
      </c>
      <c r="H11" t="s">
        <v>20</v>
      </c>
      <c r="I11" t="s">
        <v>21</v>
      </c>
      <c r="J11" t="s">
        <v>41</v>
      </c>
      <c r="K11" t="s">
        <v>23</v>
      </c>
      <c r="L11">
        <v>1</v>
      </c>
      <c r="M11">
        <v>1</v>
      </c>
      <c r="N11" t="s">
        <v>34</v>
      </c>
      <c r="O11" t="s">
        <v>34</v>
      </c>
      <c r="P11" t="s">
        <v>25</v>
      </c>
      <c r="Q11">
        <v>13796</v>
      </c>
    </row>
    <row r="12" spans="1:17" x14ac:dyDescent="0.35">
      <c r="A12" t="s">
        <v>63</v>
      </c>
      <c r="B12">
        <v>4</v>
      </c>
      <c r="C12" t="s">
        <v>52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56</v>
      </c>
      <c r="J12" t="s">
        <v>61</v>
      </c>
      <c r="K12" t="s">
        <v>23</v>
      </c>
      <c r="L12">
        <v>1</v>
      </c>
      <c r="M12">
        <v>1</v>
      </c>
      <c r="N12" t="s">
        <v>29</v>
      </c>
      <c r="O12" t="s">
        <v>29</v>
      </c>
      <c r="P12" t="s">
        <v>25</v>
      </c>
      <c r="Q12">
        <v>17766</v>
      </c>
    </row>
    <row r="13" spans="1:17" x14ac:dyDescent="0.35">
      <c r="A13" t="s">
        <v>63</v>
      </c>
      <c r="B13">
        <v>9</v>
      </c>
      <c r="C13" t="s">
        <v>52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56</v>
      </c>
      <c r="J13" t="s">
        <v>61</v>
      </c>
      <c r="K13" t="s">
        <v>23</v>
      </c>
      <c r="L13">
        <v>1</v>
      </c>
      <c r="M13">
        <v>1</v>
      </c>
      <c r="N13" t="s">
        <v>34</v>
      </c>
      <c r="O13" t="s">
        <v>34</v>
      </c>
      <c r="P13" t="s">
        <v>25</v>
      </c>
      <c r="Q13">
        <v>7366</v>
      </c>
    </row>
    <row r="14" spans="1:17" x14ac:dyDescent="0.35">
      <c r="A14" t="s">
        <v>71</v>
      </c>
      <c r="B14">
        <v>4</v>
      </c>
      <c r="C14" t="s">
        <v>15</v>
      </c>
      <c r="D14" t="s">
        <v>16</v>
      </c>
      <c r="E14" t="s">
        <v>17</v>
      </c>
      <c r="F14" t="s">
        <v>53</v>
      </c>
      <c r="G14" t="s">
        <v>54</v>
      </c>
      <c r="H14" t="s">
        <v>20</v>
      </c>
      <c r="I14" t="s">
        <v>21</v>
      </c>
      <c r="J14" t="s">
        <v>41</v>
      </c>
      <c r="K14" t="s">
        <v>23</v>
      </c>
      <c r="L14">
        <v>1</v>
      </c>
      <c r="M14">
        <v>1</v>
      </c>
      <c r="N14" t="s">
        <v>29</v>
      </c>
      <c r="O14" t="s">
        <v>29</v>
      </c>
      <c r="P14" t="s">
        <v>25</v>
      </c>
      <c r="Q14">
        <v>9388</v>
      </c>
    </row>
    <row r="15" spans="1:17" x14ac:dyDescent="0.35">
      <c r="A15" t="s">
        <v>71</v>
      </c>
      <c r="B15">
        <v>9</v>
      </c>
      <c r="C15" t="s">
        <v>15</v>
      </c>
      <c r="D15" t="s">
        <v>16</v>
      </c>
      <c r="E15" t="s">
        <v>17</v>
      </c>
      <c r="F15" t="s">
        <v>53</v>
      </c>
      <c r="G15" t="s">
        <v>54</v>
      </c>
      <c r="H15" t="s">
        <v>20</v>
      </c>
      <c r="I15" t="s">
        <v>21</v>
      </c>
      <c r="J15" t="s">
        <v>41</v>
      </c>
      <c r="K15" t="s">
        <v>23</v>
      </c>
      <c r="L15">
        <v>1</v>
      </c>
      <c r="M15">
        <v>1</v>
      </c>
      <c r="N15" t="s">
        <v>34</v>
      </c>
      <c r="O15" t="s">
        <v>34</v>
      </c>
      <c r="P15" t="s">
        <v>25</v>
      </c>
      <c r="Q15">
        <v>7737</v>
      </c>
    </row>
    <row r="16" spans="1:17" x14ac:dyDescent="0.35">
      <c r="A16" t="s">
        <v>69</v>
      </c>
      <c r="B16">
        <v>4</v>
      </c>
      <c r="C16" t="s">
        <v>40</v>
      </c>
      <c r="D16" t="s">
        <v>64</v>
      </c>
      <c r="E16" t="s">
        <v>65</v>
      </c>
      <c r="F16" t="s">
        <v>53</v>
      </c>
      <c r="G16" t="s">
        <v>54</v>
      </c>
      <c r="H16" t="s">
        <v>20</v>
      </c>
      <c r="I16" t="s">
        <v>66</v>
      </c>
      <c r="J16" t="s">
        <v>41</v>
      </c>
      <c r="K16" t="s">
        <v>23</v>
      </c>
      <c r="L16">
        <v>1</v>
      </c>
      <c r="M16">
        <v>1</v>
      </c>
      <c r="N16" t="s">
        <v>29</v>
      </c>
      <c r="O16" t="s">
        <v>29</v>
      </c>
      <c r="P16" t="s">
        <v>25</v>
      </c>
      <c r="Q16">
        <v>9871</v>
      </c>
    </row>
    <row r="17" spans="1:17" x14ac:dyDescent="0.35">
      <c r="A17" t="s">
        <v>69</v>
      </c>
      <c r="B17">
        <v>9</v>
      </c>
      <c r="C17" t="s">
        <v>40</v>
      </c>
      <c r="D17" t="s">
        <v>64</v>
      </c>
      <c r="E17" t="s">
        <v>65</v>
      </c>
      <c r="F17" t="s">
        <v>53</v>
      </c>
      <c r="G17" t="s">
        <v>54</v>
      </c>
      <c r="H17" t="s">
        <v>20</v>
      </c>
      <c r="I17" t="s">
        <v>66</v>
      </c>
      <c r="J17" t="s">
        <v>41</v>
      </c>
      <c r="K17" t="s">
        <v>23</v>
      </c>
      <c r="L17">
        <v>1</v>
      </c>
      <c r="M17">
        <v>1</v>
      </c>
      <c r="N17" t="s">
        <v>34</v>
      </c>
      <c r="O17" t="s">
        <v>34</v>
      </c>
      <c r="P17" t="s">
        <v>25</v>
      </c>
      <c r="Q17">
        <v>8279</v>
      </c>
    </row>
    <row r="18" spans="1:17" x14ac:dyDescent="0.35">
      <c r="A18" t="s">
        <v>70</v>
      </c>
      <c r="B18">
        <v>4</v>
      </c>
      <c r="C18" t="s">
        <v>52</v>
      </c>
      <c r="D18" t="s">
        <v>64</v>
      </c>
      <c r="E18" t="s">
        <v>65</v>
      </c>
      <c r="F18" t="s">
        <v>53</v>
      </c>
      <c r="G18" t="s">
        <v>68</v>
      </c>
      <c r="H18" t="s">
        <v>20</v>
      </c>
      <c r="I18" t="s">
        <v>21</v>
      </c>
      <c r="J18" t="s">
        <v>41</v>
      </c>
      <c r="K18" t="s">
        <v>23</v>
      </c>
      <c r="L18">
        <v>1</v>
      </c>
      <c r="M18">
        <v>1</v>
      </c>
      <c r="N18" t="s">
        <v>29</v>
      </c>
      <c r="O18" t="s">
        <v>29</v>
      </c>
      <c r="P18" t="s">
        <v>25</v>
      </c>
      <c r="Q18">
        <v>29642</v>
      </c>
    </row>
    <row r="19" spans="1:17" x14ac:dyDescent="0.35">
      <c r="A19" t="s">
        <v>70</v>
      </c>
      <c r="B19">
        <v>9</v>
      </c>
      <c r="C19" t="s">
        <v>52</v>
      </c>
      <c r="D19" t="s">
        <v>64</v>
      </c>
      <c r="E19" t="s">
        <v>65</v>
      </c>
      <c r="F19" t="s">
        <v>53</v>
      </c>
      <c r="G19" t="s">
        <v>68</v>
      </c>
      <c r="H19" t="s">
        <v>20</v>
      </c>
      <c r="I19" t="s">
        <v>21</v>
      </c>
      <c r="J19" t="s">
        <v>41</v>
      </c>
      <c r="K19" t="s">
        <v>23</v>
      </c>
      <c r="L19">
        <v>1</v>
      </c>
      <c r="M19">
        <v>2</v>
      </c>
      <c r="N19" t="s">
        <v>34</v>
      </c>
      <c r="O19" t="s">
        <v>34</v>
      </c>
      <c r="P19" t="s">
        <v>25</v>
      </c>
      <c r="Q19">
        <v>127093</v>
      </c>
    </row>
    <row r="20" spans="1:17" x14ac:dyDescent="0.35">
      <c r="A20" t="s">
        <v>74</v>
      </c>
      <c r="B20">
        <v>4</v>
      </c>
      <c r="C20" t="s">
        <v>15</v>
      </c>
      <c r="D20" t="s">
        <v>16</v>
      </c>
      <c r="E20" t="s">
        <v>17</v>
      </c>
      <c r="F20" t="s">
        <v>18</v>
      </c>
      <c r="G20" t="s">
        <v>54</v>
      </c>
      <c r="H20" t="s">
        <v>20</v>
      </c>
      <c r="I20" t="s">
        <v>21</v>
      </c>
      <c r="J20" t="s">
        <v>41</v>
      </c>
      <c r="K20" t="s">
        <v>23</v>
      </c>
      <c r="L20">
        <v>1</v>
      </c>
      <c r="M20">
        <v>1</v>
      </c>
      <c r="N20" t="s">
        <v>29</v>
      </c>
      <c r="O20" t="s">
        <v>29</v>
      </c>
      <c r="P20" t="s">
        <v>25</v>
      </c>
      <c r="Q20">
        <v>6968</v>
      </c>
    </row>
    <row r="21" spans="1:17" x14ac:dyDescent="0.35">
      <c r="A21" t="s">
        <v>74</v>
      </c>
      <c r="B21">
        <v>9</v>
      </c>
      <c r="C21" t="s">
        <v>15</v>
      </c>
      <c r="D21" t="s">
        <v>16</v>
      </c>
      <c r="E21" t="s">
        <v>17</v>
      </c>
      <c r="F21" t="s">
        <v>18</v>
      </c>
      <c r="G21" t="s">
        <v>54</v>
      </c>
      <c r="H21" t="s">
        <v>20</v>
      </c>
      <c r="I21" t="s">
        <v>21</v>
      </c>
      <c r="J21" t="s">
        <v>41</v>
      </c>
      <c r="K21" t="s">
        <v>23</v>
      </c>
      <c r="L21">
        <v>1</v>
      </c>
      <c r="M21">
        <v>1</v>
      </c>
      <c r="N21" t="s">
        <v>34</v>
      </c>
      <c r="O21" t="s">
        <v>34</v>
      </c>
      <c r="P21" t="s">
        <v>25</v>
      </c>
      <c r="Q21">
        <v>11008</v>
      </c>
    </row>
    <row r="22" spans="1:17" x14ac:dyDescent="0.35">
      <c r="A22" t="s">
        <v>76</v>
      </c>
      <c r="B22">
        <v>4</v>
      </c>
      <c r="C22" t="s">
        <v>15</v>
      </c>
      <c r="D22" t="s">
        <v>16</v>
      </c>
      <c r="E22" t="s">
        <v>17</v>
      </c>
      <c r="F22" t="s">
        <v>18</v>
      </c>
      <c r="G22" t="s">
        <v>72</v>
      </c>
      <c r="H22" t="s">
        <v>20</v>
      </c>
      <c r="I22" t="s">
        <v>21</v>
      </c>
      <c r="J22" t="s">
        <v>22</v>
      </c>
      <c r="K22" t="s">
        <v>23</v>
      </c>
      <c r="L22">
        <v>1</v>
      </c>
      <c r="M22">
        <v>1</v>
      </c>
      <c r="N22" t="s">
        <v>29</v>
      </c>
      <c r="O22" t="s">
        <v>29</v>
      </c>
      <c r="P22" t="s">
        <v>25</v>
      </c>
      <c r="Q22">
        <v>7974</v>
      </c>
    </row>
    <row r="23" spans="1:17" x14ac:dyDescent="0.35">
      <c r="A23" t="s">
        <v>76</v>
      </c>
      <c r="B23">
        <v>9</v>
      </c>
      <c r="C23" t="s">
        <v>15</v>
      </c>
      <c r="D23" t="s">
        <v>16</v>
      </c>
      <c r="E23" t="s">
        <v>17</v>
      </c>
      <c r="F23" t="s">
        <v>18</v>
      </c>
      <c r="G23" t="s">
        <v>72</v>
      </c>
      <c r="H23" t="s">
        <v>20</v>
      </c>
      <c r="I23" t="s">
        <v>21</v>
      </c>
      <c r="J23" t="s">
        <v>22</v>
      </c>
      <c r="K23" t="s">
        <v>23</v>
      </c>
      <c r="L23">
        <v>1</v>
      </c>
      <c r="M23">
        <v>1</v>
      </c>
      <c r="N23" t="s">
        <v>34</v>
      </c>
      <c r="O23" t="s">
        <v>34</v>
      </c>
      <c r="P23" t="s">
        <v>25</v>
      </c>
      <c r="Q23">
        <v>7412</v>
      </c>
    </row>
    <row r="24" spans="1:17" x14ac:dyDescent="0.35">
      <c r="A24" t="s">
        <v>77</v>
      </c>
      <c r="B24">
        <v>4</v>
      </c>
      <c r="C24" t="s">
        <v>15</v>
      </c>
      <c r="D24" t="s">
        <v>16</v>
      </c>
      <c r="E24" t="s">
        <v>17</v>
      </c>
      <c r="F24" t="s">
        <v>18</v>
      </c>
      <c r="G24" t="s">
        <v>54</v>
      </c>
      <c r="H24" t="s">
        <v>20</v>
      </c>
      <c r="I24" t="s">
        <v>21</v>
      </c>
      <c r="J24" t="s">
        <v>41</v>
      </c>
      <c r="K24" t="s">
        <v>23</v>
      </c>
      <c r="L24">
        <v>1</v>
      </c>
      <c r="M24">
        <v>1</v>
      </c>
      <c r="N24" t="s">
        <v>29</v>
      </c>
      <c r="O24" t="s">
        <v>29</v>
      </c>
      <c r="P24" t="s">
        <v>25</v>
      </c>
      <c r="Q24">
        <v>6552</v>
      </c>
    </row>
    <row r="25" spans="1:17" x14ac:dyDescent="0.35">
      <c r="A25" t="s">
        <v>77</v>
      </c>
      <c r="B25">
        <v>9</v>
      </c>
      <c r="C25" t="s">
        <v>15</v>
      </c>
      <c r="D25" t="s">
        <v>16</v>
      </c>
      <c r="E25" t="s">
        <v>17</v>
      </c>
      <c r="F25" t="s">
        <v>18</v>
      </c>
      <c r="G25" t="s">
        <v>54</v>
      </c>
      <c r="H25" t="s">
        <v>20</v>
      </c>
      <c r="I25" t="s">
        <v>21</v>
      </c>
      <c r="J25" t="s">
        <v>41</v>
      </c>
      <c r="K25" t="s">
        <v>23</v>
      </c>
      <c r="L25">
        <v>1</v>
      </c>
      <c r="M25">
        <v>1</v>
      </c>
      <c r="N25" t="s">
        <v>34</v>
      </c>
      <c r="O25" t="s">
        <v>34</v>
      </c>
      <c r="P25" t="s">
        <v>25</v>
      </c>
      <c r="Q25">
        <v>6664</v>
      </c>
    </row>
    <row r="26" spans="1:17" x14ac:dyDescent="0.35">
      <c r="A26" t="s">
        <v>79</v>
      </c>
      <c r="B26">
        <v>4</v>
      </c>
      <c r="C26" t="s">
        <v>40</v>
      </c>
      <c r="D26" t="s">
        <v>64</v>
      </c>
      <c r="E26" t="s">
        <v>17</v>
      </c>
      <c r="F26" t="s">
        <v>53</v>
      </c>
      <c r="G26" t="s">
        <v>72</v>
      </c>
      <c r="H26" t="s">
        <v>20</v>
      </c>
      <c r="I26" t="s">
        <v>78</v>
      </c>
      <c r="J26" t="s">
        <v>61</v>
      </c>
      <c r="K26" t="s">
        <v>23</v>
      </c>
      <c r="L26">
        <v>1</v>
      </c>
      <c r="M26">
        <v>1</v>
      </c>
      <c r="N26" t="s">
        <v>29</v>
      </c>
      <c r="O26" t="s">
        <v>29</v>
      </c>
      <c r="P26" t="s">
        <v>25</v>
      </c>
      <c r="Q26">
        <v>8855</v>
      </c>
    </row>
    <row r="27" spans="1:17" x14ac:dyDescent="0.35">
      <c r="A27" t="s">
        <v>79</v>
      </c>
      <c r="B27">
        <v>9</v>
      </c>
      <c r="C27" t="s">
        <v>40</v>
      </c>
      <c r="D27" t="s">
        <v>64</v>
      </c>
      <c r="E27" t="s">
        <v>17</v>
      </c>
      <c r="F27" t="s">
        <v>53</v>
      </c>
      <c r="G27" t="s">
        <v>72</v>
      </c>
      <c r="H27" t="s">
        <v>20</v>
      </c>
      <c r="I27" t="s">
        <v>78</v>
      </c>
      <c r="J27" t="s">
        <v>61</v>
      </c>
      <c r="K27" t="s">
        <v>23</v>
      </c>
      <c r="L27">
        <v>1</v>
      </c>
      <c r="M27">
        <v>1</v>
      </c>
      <c r="N27" t="s">
        <v>34</v>
      </c>
      <c r="O27" t="s">
        <v>34</v>
      </c>
      <c r="P27" t="s">
        <v>25</v>
      </c>
      <c r="Q27">
        <v>10536</v>
      </c>
    </row>
    <row r="28" spans="1:17" x14ac:dyDescent="0.35">
      <c r="A28" t="s">
        <v>80</v>
      </c>
      <c r="B28">
        <v>4</v>
      </c>
      <c r="C28" t="s">
        <v>52</v>
      </c>
      <c r="D28" t="s">
        <v>64</v>
      </c>
      <c r="E28" t="s">
        <v>65</v>
      </c>
      <c r="F28" t="s">
        <v>18</v>
      </c>
      <c r="G28" t="s">
        <v>72</v>
      </c>
      <c r="H28" t="s">
        <v>20</v>
      </c>
      <c r="I28" t="s">
        <v>78</v>
      </c>
      <c r="J28" t="s">
        <v>22</v>
      </c>
      <c r="K28" t="s">
        <v>23</v>
      </c>
      <c r="L28">
        <v>1</v>
      </c>
      <c r="M28">
        <v>1</v>
      </c>
      <c r="N28" t="s">
        <v>29</v>
      </c>
      <c r="O28" t="s">
        <v>29</v>
      </c>
      <c r="P28" t="s">
        <v>25</v>
      </c>
      <c r="Q28">
        <v>5756</v>
      </c>
    </row>
    <row r="29" spans="1:17" x14ac:dyDescent="0.35">
      <c r="A29" t="s">
        <v>80</v>
      </c>
      <c r="B29">
        <v>9</v>
      </c>
      <c r="C29" t="s">
        <v>52</v>
      </c>
      <c r="D29" t="s">
        <v>64</v>
      </c>
      <c r="E29" t="s">
        <v>65</v>
      </c>
      <c r="F29" t="s">
        <v>18</v>
      </c>
      <c r="G29" t="s">
        <v>72</v>
      </c>
      <c r="H29" t="s">
        <v>20</v>
      </c>
      <c r="I29" t="s">
        <v>78</v>
      </c>
      <c r="J29" t="s">
        <v>22</v>
      </c>
      <c r="K29" t="s">
        <v>23</v>
      </c>
      <c r="L29">
        <v>1</v>
      </c>
      <c r="M29">
        <v>1</v>
      </c>
      <c r="N29" t="s">
        <v>34</v>
      </c>
      <c r="O29" t="s">
        <v>34</v>
      </c>
      <c r="P29" t="s">
        <v>25</v>
      </c>
      <c r="Q29">
        <v>6522</v>
      </c>
    </row>
    <row r="30" spans="1:17" x14ac:dyDescent="0.35">
      <c r="A30" t="s">
        <v>81</v>
      </c>
      <c r="B30">
        <v>4</v>
      </c>
      <c r="C30" t="s">
        <v>52</v>
      </c>
      <c r="D30" t="s">
        <v>64</v>
      </c>
      <c r="E30" t="s">
        <v>65</v>
      </c>
      <c r="F30" t="s">
        <v>53</v>
      </c>
      <c r="G30" t="s">
        <v>19</v>
      </c>
      <c r="H30" t="s">
        <v>55</v>
      </c>
      <c r="I30" t="s">
        <v>66</v>
      </c>
      <c r="J30" t="s">
        <v>41</v>
      </c>
      <c r="K30" t="s">
        <v>23</v>
      </c>
      <c r="L30">
        <v>1</v>
      </c>
      <c r="M30">
        <v>1</v>
      </c>
      <c r="N30" t="s">
        <v>29</v>
      </c>
      <c r="O30" t="s">
        <v>29</v>
      </c>
      <c r="P30" t="s">
        <v>25</v>
      </c>
      <c r="Q30">
        <v>20311</v>
      </c>
    </row>
    <row r="31" spans="1:17" x14ac:dyDescent="0.35">
      <c r="A31" t="s">
        <v>81</v>
      </c>
      <c r="B31">
        <v>9</v>
      </c>
      <c r="C31" t="s">
        <v>52</v>
      </c>
      <c r="D31" t="s">
        <v>64</v>
      </c>
      <c r="E31" t="s">
        <v>65</v>
      </c>
      <c r="F31" t="s">
        <v>53</v>
      </c>
      <c r="G31" t="s">
        <v>19</v>
      </c>
      <c r="H31" t="s">
        <v>55</v>
      </c>
      <c r="I31" t="s">
        <v>66</v>
      </c>
      <c r="J31" t="s">
        <v>41</v>
      </c>
      <c r="K31" t="s">
        <v>23</v>
      </c>
      <c r="L31">
        <v>1</v>
      </c>
      <c r="M31">
        <v>1</v>
      </c>
      <c r="N31" t="s">
        <v>34</v>
      </c>
      <c r="O31" t="s">
        <v>34</v>
      </c>
      <c r="P31" t="s">
        <v>25</v>
      </c>
      <c r="Q31">
        <v>22584</v>
      </c>
    </row>
    <row r="32" spans="1:17" x14ac:dyDescent="0.35">
      <c r="A32" t="s">
        <v>84</v>
      </c>
      <c r="B32">
        <v>4</v>
      </c>
      <c r="C32" t="s">
        <v>15</v>
      </c>
      <c r="D32" t="s">
        <v>64</v>
      </c>
      <c r="E32" t="s">
        <v>65</v>
      </c>
      <c r="F32" t="s">
        <v>53</v>
      </c>
      <c r="G32" t="s">
        <v>82</v>
      </c>
      <c r="H32" t="s">
        <v>20</v>
      </c>
      <c r="I32" t="s">
        <v>83</v>
      </c>
      <c r="J32" t="s">
        <v>61</v>
      </c>
      <c r="K32" t="s">
        <v>23</v>
      </c>
      <c r="L32">
        <v>1</v>
      </c>
      <c r="M32">
        <v>1</v>
      </c>
      <c r="N32" t="s">
        <v>29</v>
      </c>
      <c r="O32" t="s">
        <v>29</v>
      </c>
      <c r="P32" t="s">
        <v>25</v>
      </c>
      <c r="Q32">
        <v>14629</v>
      </c>
    </row>
    <row r="33" spans="1:17" x14ac:dyDescent="0.35">
      <c r="A33" t="s">
        <v>84</v>
      </c>
      <c r="B33">
        <v>9</v>
      </c>
      <c r="C33" t="s">
        <v>15</v>
      </c>
      <c r="D33" t="s">
        <v>64</v>
      </c>
      <c r="E33" t="s">
        <v>65</v>
      </c>
      <c r="F33" t="s">
        <v>53</v>
      </c>
      <c r="G33" t="s">
        <v>82</v>
      </c>
      <c r="H33" t="s">
        <v>20</v>
      </c>
      <c r="I33" t="s">
        <v>83</v>
      </c>
      <c r="J33" t="s">
        <v>61</v>
      </c>
      <c r="K33" t="s">
        <v>23</v>
      </c>
      <c r="L33">
        <v>1</v>
      </c>
      <c r="M33">
        <v>1</v>
      </c>
      <c r="N33" t="s">
        <v>34</v>
      </c>
      <c r="O33" t="s">
        <v>34</v>
      </c>
      <c r="P33" t="s">
        <v>25</v>
      </c>
      <c r="Q33">
        <v>9670</v>
      </c>
    </row>
    <row r="34" spans="1:17" x14ac:dyDescent="0.35">
      <c r="A34" t="s">
        <v>87</v>
      </c>
      <c r="B34">
        <v>4</v>
      </c>
      <c r="C34" t="s">
        <v>52</v>
      </c>
      <c r="D34" t="s">
        <v>64</v>
      </c>
      <c r="E34" t="s">
        <v>65</v>
      </c>
      <c r="F34" t="s">
        <v>85</v>
      </c>
      <c r="G34" t="s">
        <v>54</v>
      </c>
      <c r="H34" t="s">
        <v>55</v>
      </c>
      <c r="I34" t="s">
        <v>21</v>
      </c>
      <c r="J34" t="s">
        <v>41</v>
      </c>
      <c r="K34" t="s">
        <v>23</v>
      </c>
      <c r="L34">
        <v>1</v>
      </c>
      <c r="M34">
        <v>1</v>
      </c>
      <c r="N34" t="s">
        <v>29</v>
      </c>
      <c r="O34" t="s">
        <v>29</v>
      </c>
      <c r="P34" t="s">
        <v>25</v>
      </c>
      <c r="Q34">
        <v>16404</v>
      </c>
    </row>
    <row r="35" spans="1:17" x14ac:dyDescent="0.35">
      <c r="A35" t="s">
        <v>87</v>
      </c>
      <c r="B35">
        <v>9</v>
      </c>
      <c r="C35" t="s">
        <v>52</v>
      </c>
      <c r="D35" t="s">
        <v>64</v>
      </c>
      <c r="E35" t="s">
        <v>65</v>
      </c>
      <c r="F35" t="s">
        <v>85</v>
      </c>
      <c r="G35" t="s">
        <v>54</v>
      </c>
      <c r="H35" t="s">
        <v>55</v>
      </c>
      <c r="I35" t="s">
        <v>21</v>
      </c>
      <c r="J35" t="s">
        <v>41</v>
      </c>
      <c r="K35" t="s">
        <v>23</v>
      </c>
      <c r="L35">
        <v>1</v>
      </c>
      <c r="M35">
        <v>1</v>
      </c>
      <c r="N35" t="s">
        <v>34</v>
      </c>
      <c r="O35" t="s">
        <v>34</v>
      </c>
      <c r="P35" t="s">
        <v>25</v>
      </c>
      <c r="Q35">
        <v>15234</v>
      </c>
    </row>
    <row r="36" spans="1:17" x14ac:dyDescent="0.35">
      <c r="A36" t="s">
        <v>90</v>
      </c>
      <c r="B36">
        <v>4</v>
      </c>
      <c r="C36" t="s">
        <v>40</v>
      </c>
      <c r="D36" t="s">
        <v>64</v>
      </c>
      <c r="E36" t="s">
        <v>65</v>
      </c>
      <c r="F36" t="s">
        <v>18</v>
      </c>
      <c r="G36" t="s">
        <v>19</v>
      </c>
      <c r="H36" t="s">
        <v>88</v>
      </c>
      <c r="I36" t="s">
        <v>89</v>
      </c>
      <c r="J36" t="s">
        <v>41</v>
      </c>
      <c r="K36" t="s">
        <v>23</v>
      </c>
      <c r="L36">
        <v>1</v>
      </c>
      <c r="M36">
        <v>1</v>
      </c>
      <c r="N36" t="s">
        <v>29</v>
      </c>
      <c r="O36" t="s">
        <v>29</v>
      </c>
      <c r="P36" t="s">
        <v>25</v>
      </c>
      <c r="Q36">
        <v>10767</v>
      </c>
    </row>
    <row r="37" spans="1:17" x14ac:dyDescent="0.35">
      <c r="A37" t="s">
        <v>90</v>
      </c>
      <c r="B37">
        <v>9</v>
      </c>
      <c r="C37" t="s">
        <v>40</v>
      </c>
      <c r="D37" t="s">
        <v>64</v>
      </c>
      <c r="E37" t="s">
        <v>65</v>
      </c>
      <c r="F37" t="s">
        <v>18</v>
      </c>
      <c r="G37" t="s">
        <v>19</v>
      </c>
      <c r="H37" t="s">
        <v>88</v>
      </c>
      <c r="I37" t="s">
        <v>89</v>
      </c>
      <c r="J37" t="s">
        <v>41</v>
      </c>
      <c r="K37" t="s">
        <v>23</v>
      </c>
      <c r="L37">
        <v>1</v>
      </c>
      <c r="M37">
        <v>1</v>
      </c>
      <c r="N37" t="s">
        <v>34</v>
      </c>
      <c r="O37" t="s">
        <v>34</v>
      </c>
      <c r="P37" t="s">
        <v>25</v>
      </c>
      <c r="Q37">
        <v>11145</v>
      </c>
    </row>
    <row r="38" spans="1:17" x14ac:dyDescent="0.35">
      <c r="A38" t="s">
        <v>91</v>
      </c>
      <c r="B38">
        <v>4</v>
      </c>
      <c r="C38" t="s">
        <v>15</v>
      </c>
      <c r="D38" t="s">
        <v>64</v>
      </c>
      <c r="E38" t="s">
        <v>65</v>
      </c>
      <c r="F38" t="s">
        <v>18</v>
      </c>
      <c r="G38" t="s">
        <v>68</v>
      </c>
      <c r="H38" t="s">
        <v>20</v>
      </c>
      <c r="I38" t="s">
        <v>66</v>
      </c>
      <c r="J38" t="s">
        <v>41</v>
      </c>
      <c r="K38" t="s">
        <v>23</v>
      </c>
      <c r="L38">
        <v>1</v>
      </c>
      <c r="M38">
        <v>1</v>
      </c>
      <c r="N38" t="s">
        <v>29</v>
      </c>
      <c r="O38" t="s">
        <v>29</v>
      </c>
      <c r="P38" t="s">
        <v>25</v>
      </c>
      <c r="Q38">
        <v>10668</v>
      </c>
    </row>
    <row r="39" spans="1:17" x14ac:dyDescent="0.35">
      <c r="A39" t="s">
        <v>91</v>
      </c>
      <c r="B39">
        <v>9</v>
      </c>
      <c r="C39" t="s">
        <v>15</v>
      </c>
      <c r="D39" t="s">
        <v>64</v>
      </c>
      <c r="E39" t="s">
        <v>65</v>
      </c>
      <c r="F39" t="s">
        <v>18</v>
      </c>
      <c r="G39" t="s">
        <v>68</v>
      </c>
      <c r="H39" t="s">
        <v>20</v>
      </c>
      <c r="I39" t="s">
        <v>66</v>
      </c>
      <c r="J39" t="s">
        <v>41</v>
      </c>
      <c r="K39" t="s">
        <v>23</v>
      </c>
      <c r="L39">
        <v>1</v>
      </c>
      <c r="M39">
        <v>1</v>
      </c>
      <c r="N39" t="s">
        <v>34</v>
      </c>
      <c r="O39" t="s">
        <v>34</v>
      </c>
      <c r="P39" t="s">
        <v>25</v>
      </c>
      <c r="Q39">
        <v>10124</v>
      </c>
    </row>
    <row r="40" spans="1:17" x14ac:dyDescent="0.35">
      <c r="A40" t="s">
        <v>92</v>
      </c>
      <c r="B40">
        <v>4</v>
      </c>
      <c r="C40" t="s">
        <v>40</v>
      </c>
      <c r="D40" t="s">
        <v>64</v>
      </c>
      <c r="E40" t="s">
        <v>65</v>
      </c>
      <c r="F40" t="s">
        <v>18</v>
      </c>
      <c r="G40" t="s">
        <v>54</v>
      </c>
      <c r="H40" t="s">
        <v>55</v>
      </c>
      <c r="I40" t="s">
        <v>78</v>
      </c>
      <c r="J40" t="s">
        <v>41</v>
      </c>
      <c r="K40" t="s">
        <v>23</v>
      </c>
      <c r="L40">
        <v>1</v>
      </c>
      <c r="M40">
        <v>1</v>
      </c>
      <c r="N40" t="s">
        <v>29</v>
      </c>
      <c r="O40" t="s">
        <v>29</v>
      </c>
      <c r="P40" t="s">
        <v>25</v>
      </c>
      <c r="Q40">
        <v>5019</v>
      </c>
    </row>
    <row r="41" spans="1:17" x14ac:dyDescent="0.35">
      <c r="A41" t="s">
        <v>92</v>
      </c>
      <c r="B41">
        <v>9</v>
      </c>
      <c r="C41" t="s">
        <v>40</v>
      </c>
      <c r="D41" t="s">
        <v>64</v>
      </c>
      <c r="E41" t="s">
        <v>65</v>
      </c>
      <c r="F41" t="s">
        <v>18</v>
      </c>
      <c r="G41" t="s">
        <v>54</v>
      </c>
      <c r="H41" t="s">
        <v>55</v>
      </c>
      <c r="I41" t="s">
        <v>78</v>
      </c>
      <c r="J41" t="s">
        <v>41</v>
      </c>
      <c r="K41" t="s">
        <v>23</v>
      </c>
      <c r="L41">
        <v>1</v>
      </c>
      <c r="M41">
        <v>1</v>
      </c>
      <c r="N41" t="s">
        <v>34</v>
      </c>
      <c r="O41" t="s">
        <v>34</v>
      </c>
      <c r="P41" t="s">
        <v>25</v>
      </c>
      <c r="Q41">
        <v>6565</v>
      </c>
    </row>
    <row r="42" spans="1:17" x14ac:dyDescent="0.35">
      <c r="A42" t="s">
        <v>94</v>
      </c>
      <c r="B42">
        <v>4</v>
      </c>
      <c r="C42" t="s">
        <v>40</v>
      </c>
      <c r="D42" t="s">
        <v>16</v>
      </c>
      <c r="E42" t="s">
        <v>17</v>
      </c>
      <c r="F42" t="s">
        <v>53</v>
      </c>
      <c r="G42" t="s">
        <v>54</v>
      </c>
      <c r="H42" t="s">
        <v>20</v>
      </c>
      <c r="I42" t="s">
        <v>21</v>
      </c>
      <c r="J42" t="s">
        <v>41</v>
      </c>
      <c r="K42" t="s">
        <v>23</v>
      </c>
      <c r="L42">
        <v>1</v>
      </c>
      <c r="M42">
        <v>1</v>
      </c>
      <c r="N42" t="s">
        <v>29</v>
      </c>
      <c r="O42" t="s">
        <v>29</v>
      </c>
      <c r="P42" t="s">
        <v>25</v>
      </c>
      <c r="Q42">
        <v>13512</v>
      </c>
    </row>
    <row r="43" spans="1:17" x14ac:dyDescent="0.35">
      <c r="A43" t="s">
        <v>94</v>
      </c>
      <c r="B43">
        <v>9</v>
      </c>
      <c r="C43" t="s">
        <v>40</v>
      </c>
      <c r="D43" t="s">
        <v>16</v>
      </c>
      <c r="E43" t="s">
        <v>17</v>
      </c>
      <c r="F43" t="s">
        <v>53</v>
      </c>
      <c r="G43" t="s">
        <v>54</v>
      </c>
      <c r="H43" t="s">
        <v>20</v>
      </c>
      <c r="I43" t="s">
        <v>21</v>
      </c>
      <c r="J43" t="s">
        <v>41</v>
      </c>
      <c r="K43" t="s">
        <v>23</v>
      </c>
      <c r="L43">
        <v>1</v>
      </c>
      <c r="M43">
        <v>1</v>
      </c>
      <c r="N43" t="s">
        <v>34</v>
      </c>
      <c r="O43" t="s">
        <v>34</v>
      </c>
      <c r="P43" t="s">
        <v>25</v>
      </c>
      <c r="Q43">
        <v>11529</v>
      </c>
    </row>
    <row r="44" spans="1:17" x14ac:dyDescent="0.35">
      <c r="A44" t="s">
        <v>101</v>
      </c>
      <c r="B44">
        <v>4</v>
      </c>
      <c r="C44" t="s">
        <v>15</v>
      </c>
      <c r="D44" t="s">
        <v>64</v>
      </c>
      <c r="E44" t="s">
        <v>65</v>
      </c>
      <c r="F44" t="s">
        <v>53</v>
      </c>
      <c r="G44" t="s">
        <v>82</v>
      </c>
      <c r="H44" t="s">
        <v>55</v>
      </c>
      <c r="I44" t="s">
        <v>83</v>
      </c>
      <c r="J44" t="s">
        <v>22</v>
      </c>
      <c r="K44" t="s">
        <v>23</v>
      </c>
      <c r="L44">
        <v>1</v>
      </c>
      <c r="M44">
        <v>1</v>
      </c>
      <c r="N44" t="s">
        <v>29</v>
      </c>
      <c r="O44" t="s">
        <v>29</v>
      </c>
      <c r="P44" t="s">
        <v>25</v>
      </c>
      <c r="Q44">
        <v>11894</v>
      </c>
    </row>
    <row r="45" spans="1:17" x14ac:dyDescent="0.35">
      <c r="A45" t="s">
        <v>101</v>
      </c>
      <c r="B45">
        <v>9</v>
      </c>
      <c r="C45" t="s">
        <v>15</v>
      </c>
      <c r="D45" t="s">
        <v>64</v>
      </c>
      <c r="E45" t="s">
        <v>65</v>
      </c>
      <c r="F45" t="s">
        <v>53</v>
      </c>
      <c r="G45" t="s">
        <v>82</v>
      </c>
      <c r="H45" t="s">
        <v>55</v>
      </c>
      <c r="I45" t="s">
        <v>83</v>
      </c>
      <c r="J45" t="s">
        <v>22</v>
      </c>
      <c r="K45" t="s">
        <v>23</v>
      </c>
      <c r="L45">
        <v>1</v>
      </c>
      <c r="M45">
        <v>1</v>
      </c>
      <c r="N45" t="s">
        <v>34</v>
      </c>
      <c r="O45" t="s">
        <v>34</v>
      </c>
      <c r="P45" t="s">
        <v>25</v>
      </c>
      <c r="Q45">
        <v>8775</v>
      </c>
    </row>
    <row r="46" spans="1:17" x14ac:dyDescent="0.35">
      <c r="A46" t="s">
        <v>39</v>
      </c>
      <c r="B46">
        <v>6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>
        <v>3</v>
      </c>
      <c r="M46">
        <v>1</v>
      </c>
      <c r="N46" t="s">
        <v>31</v>
      </c>
      <c r="O46" t="s">
        <v>31</v>
      </c>
      <c r="P46" t="s">
        <v>25</v>
      </c>
      <c r="Q46">
        <v>26909</v>
      </c>
    </row>
    <row r="47" spans="1:17" x14ac:dyDescent="0.35">
      <c r="A47" t="s">
        <v>39</v>
      </c>
      <c r="B47">
        <v>12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>
        <v>3</v>
      </c>
      <c r="M47">
        <v>1</v>
      </c>
      <c r="N47" t="s">
        <v>37</v>
      </c>
      <c r="O47" t="s">
        <v>37</v>
      </c>
      <c r="P47" t="s">
        <v>25</v>
      </c>
      <c r="Q47">
        <v>21608</v>
      </c>
    </row>
    <row r="48" spans="1:17" x14ac:dyDescent="0.35">
      <c r="A48" t="s">
        <v>51</v>
      </c>
      <c r="B48">
        <v>6</v>
      </c>
      <c r="C48" t="s">
        <v>40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41</v>
      </c>
      <c r="K48" t="s">
        <v>23</v>
      </c>
      <c r="L48">
        <v>3</v>
      </c>
      <c r="M48">
        <v>1</v>
      </c>
      <c r="N48" t="s">
        <v>31</v>
      </c>
      <c r="O48" t="s">
        <v>47</v>
      </c>
      <c r="P48" t="s">
        <v>43</v>
      </c>
      <c r="Q48">
        <v>29022</v>
      </c>
    </row>
    <row r="49" spans="1:17" x14ac:dyDescent="0.35">
      <c r="A49" t="s">
        <v>51</v>
      </c>
      <c r="B49">
        <v>12</v>
      </c>
      <c r="C49" t="s">
        <v>40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41</v>
      </c>
      <c r="K49" t="s">
        <v>23</v>
      </c>
      <c r="L49">
        <v>3</v>
      </c>
      <c r="M49">
        <v>1</v>
      </c>
      <c r="N49" t="s">
        <v>37</v>
      </c>
      <c r="O49" t="s">
        <v>50</v>
      </c>
      <c r="P49" t="s">
        <v>43</v>
      </c>
      <c r="Q49">
        <v>24167</v>
      </c>
    </row>
    <row r="50" spans="1:17" x14ac:dyDescent="0.35">
      <c r="A50" t="s">
        <v>58</v>
      </c>
      <c r="B50">
        <v>6</v>
      </c>
      <c r="C50" t="s">
        <v>52</v>
      </c>
      <c r="D50" t="s">
        <v>16</v>
      </c>
      <c r="E50" t="s">
        <v>17</v>
      </c>
      <c r="F50" t="s">
        <v>53</v>
      </c>
      <c r="G50" t="s">
        <v>54</v>
      </c>
      <c r="H50" t="s">
        <v>55</v>
      </c>
      <c r="I50" t="s">
        <v>56</v>
      </c>
      <c r="J50" t="s">
        <v>22</v>
      </c>
      <c r="K50" t="s">
        <v>23</v>
      </c>
      <c r="L50">
        <v>3</v>
      </c>
      <c r="M50">
        <v>1</v>
      </c>
      <c r="N50" t="s">
        <v>31</v>
      </c>
      <c r="O50" t="s">
        <v>31</v>
      </c>
      <c r="P50" t="s">
        <v>25</v>
      </c>
      <c r="Q50">
        <v>28350</v>
      </c>
    </row>
    <row r="51" spans="1:17" x14ac:dyDescent="0.35">
      <c r="A51" t="s">
        <v>58</v>
      </c>
      <c r="B51">
        <v>12</v>
      </c>
      <c r="C51" t="s">
        <v>52</v>
      </c>
      <c r="D51" t="s">
        <v>16</v>
      </c>
      <c r="E51" t="s">
        <v>17</v>
      </c>
      <c r="F51" t="s">
        <v>53</v>
      </c>
      <c r="G51" t="s">
        <v>54</v>
      </c>
      <c r="H51" t="s">
        <v>55</v>
      </c>
      <c r="I51" t="s">
        <v>56</v>
      </c>
      <c r="J51" t="s">
        <v>22</v>
      </c>
      <c r="K51" t="s">
        <v>23</v>
      </c>
      <c r="L51">
        <v>3</v>
      </c>
      <c r="M51">
        <v>1</v>
      </c>
      <c r="N51" t="s">
        <v>37</v>
      </c>
      <c r="O51" t="s">
        <v>37</v>
      </c>
      <c r="P51" t="s">
        <v>25</v>
      </c>
      <c r="Q51">
        <v>34350</v>
      </c>
    </row>
    <row r="52" spans="1:17" x14ac:dyDescent="0.35">
      <c r="A52" t="s">
        <v>60</v>
      </c>
      <c r="B52">
        <v>6</v>
      </c>
      <c r="C52" t="s">
        <v>59</v>
      </c>
      <c r="D52" t="s">
        <v>16</v>
      </c>
      <c r="E52" t="s">
        <v>17</v>
      </c>
      <c r="F52" t="s">
        <v>18</v>
      </c>
      <c r="G52" t="s">
        <v>54</v>
      </c>
      <c r="H52" t="s">
        <v>55</v>
      </c>
      <c r="I52" t="s">
        <v>21</v>
      </c>
      <c r="J52" t="s">
        <v>22</v>
      </c>
      <c r="K52" t="s">
        <v>23</v>
      </c>
      <c r="L52">
        <v>3</v>
      </c>
      <c r="M52">
        <v>1</v>
      </c>
      <c r="N52" t="s">
        <v>31</v>
      </c>
      <c r="O52" t="s">
        <v>31</v>
      </c>
      <c r="P52" t="s">
        <v>25</v>
      </c>
      <c r="Q52">
        <v>29110</v>
      </c>
    </row>
    <row r="53" spans="1:17" x14ac:dyDescent="0.35">
      <c r="A53" t="s">
        <v>60</v>
      </c>
      <c r="B53">
        <v>12</v>
      </c>
      <c r="C53" t="s">
        <v>59</v>
      </c>
      <c r="D53" t="s">
        <v>16</v>
      </c>
      <c r="E53" t="s">
        <v>17</v>
      </c>
      <c r="F53" t="s">
        <v>18</v>
      </c>
      <c r="G53" t="s">
        <v>54</v>
      </c>
      <c r="H53" t="s">
        <v>55</v>
      </c>
      <c r="I53" t="s">
        <v>21</v>
      </c>
      <c r="J53" t="s">
        <v>22</v>
      </c>
      <c r="K53" t="s">
        <v>23</v>
      </c>
      <c r="L53">
        <v>3</v>
      </c>
      <c r="M53">
        <v>1</v>
      </c>
      <c r="N53" t="s">
        <v>37</v>
      </c>
      <c r="O53" t="s">
        <v>37</v>
      </c>
      <c r="P53" t="s">
        <v>25</v>
      </c>
      <c r="Q53">
        <v>20566</v>
      </c>
    </row>
    <row r="54" spans="1:17" x14ac:dyDescent="0.35">
      <c r="A54" t="s">
        <v>62</v>
      </c>
      <c r="B54">
        <v>6</v>
      </c>
      <c r="C54" t="s">
        <v>15</v>
      </c>
      <c r="D54" t="s">
        <v>16</v>
      </c>
      <c r="E54" t="s">
        <v>17</v>
      </c>
      <c r="F54" t="s">
        <v>53</v>
      </c>
      <c r="G54" t="s">
        <v>72</v>
      </c>
      <c r="H54" t="s">
        <v>20</v>
      </c>
      <c r="I54" t="s">
        <v>21</v>
      </c>
      <c r="J54" t="s">
        <v>41</v>
      </c>
      <c r="K54" t="s">
        <v>23</v>
      </c>
      <c r="L54">
        <v>3</v>
      </c>
      <c r="M54">
        <v>1</v>
      </c>
      <c r="N54" t="s">
        <v>31</v>
      </c>
      <c r="O54" t="s">
        <v>31</v>
      </c>
      <c r="P54" t="s">
        <v>25</v>
      </c>
      <c r="Q54">
        <v>23111</v>
      </c>
    </row>
    <row r="55" spans="1:17" x14ac:dyDescent="0.35">
      <c r="A55" t="s">
        <v>62</v>
      </c>
      <c r="B55">
        <v>12</v>
      </c>
      <c r="C55" t="s">
        <v>15</v>
      </c>
      <c r="D55" t="s">
        <v>16</v>
      </c>
      <c r="E55" t="s">
        <v>17</v>
      </c>
      <c r="F55" t="s">
        <v>53</v>
      </c>
      <c r="G55" t="s">
        <v>72</v>
      </c>
      <c r="H55" t="s">
        <v>20</v>
      </c>
      <c r="I55" t="s">
        <v>21</v>
      </c>
      <c r="J55" t="s">
        <v>41</v>
      </c>
      <c r="K55" t="s">
        <v>23</v>
      </c>
      <c r="L55">
        <v>3</v>
      </c>
      <c r="M55">
        <v>1</v>
      </c>
      <c r="N55" t="s">
        <v>37</v>
      </c>
      <c r="O55" t="s">
        <v>37</v>
      </c>
      <c r="P55" t="s">
        <v>25</v>
      </c>
      <c r="Q55">
        <v>24925</v>
      </c>
    </row>
    <row r="56" spans="1:17" x14ac:dyDescent="0.35">
      <c r="A56" t="s">
        <v>63</v>
      </c>
      <c r="B56">
        <v>6</v>
      </c>
      <c r="C56" t="s">
        <v>52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56</v>
      </c>
      <c r="J56" t="s">
        <v>61</v>
      </c>
      <c r="K56" t="s">
        <v>23</v>
      </c>
      <c r="L56">
        <v>3</v>
      </c>
      <c r="M56">
        <v>1</v>
      </c>
      <c r="N56" t="s">
        <v>31</v>
      </c>
      <c r="O56" t="s">
        <v>31</v>
      </c>
      <c r="P56" t="s">
        <v>25</v>
      </c>
      <c r="Q56">
        <v>20917</v>
      </c>
    </row>
    <row r="57" spans="1:17" x14ac:dyDescent="0.35">
      <c r="A57" t="s">
        <v>63</v>
      </c>
      <c r="B57">
        <v>12</v>
      </c>
      <c r="C57" t="s">
        <v>52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56</v>
      </c>
      <c r="J57" t="s">
        <v>61</v>
      </c>
      <c r="K57" t="s">
        <v>23</v>
      </c>
      <c r="L57">
        <v>3</v>
      </c>
      <c r="M57">
        <v>1</v>
      </c>
      <c r="N57" t="s">
        <v>37</v>
      </c>
      <c r="O57" t="s">
        <v>37</v>
      </c>
      <c r="P57" t="s">
        <v>25</v>
      </c>
      <c r="Q57">
        <v>20697</v>
      </c>
    </row>
    <row r="58" spans="1:17" x14ac:dyDescent="0.35">
      <c r="A58" t="s">
        <v>71</v>
      </c>
      <c r="B58">
        <v>6</v>
      </c>
      <c r="C58" t="s">
        <v>15</v>
      </c>
      <c r="D58" t="s">
        <v>16</v>
      </c>
      <c r="E58" t="s">
        <v>17</v>
      </c>
      <c r="F58" t="s">
        <v>53</v>
      </c>
      <c r="G58" t="s">
        <v>54</v>
      </c>
      <c r="H58" t="s">
        <v>20</v>
      </c>
      <c r="I58" t="s">
        <v>21</v>
      </c>
      <c r="J58" t="s">
        <v>41</v>
      </c>
      <c r="K58" t="s">
        <v>23</v>
      </c>
      <c r="L58">
        <v>3</v>
      </c>
      <c r="M58">
        <v>1</v>
      </c>
      <c r="N58" t="s">
        <v>31</v>
      </c>
      <c r="O58" t="s">
        <v>31</v>
      </c>
      <c r="P58" t="s">
        <v>25</v>
      </c>
      <c r="Q58">
        <v>23127</v>
      </c>
    </row>
    <row r="59" spans="1:17" x14ac:dyDescent="0.35">
      <c r="A59" t="s">
        <v>71</v>
      </c>
      <c r="B59">
        <v>12</v>
      </c>
      <c r="C59" t="s">
        <v>15</v>
      </c>
      <c r="D59" t="s">
        <v>16</v>
      </c>
      <c r="E59" t="s">
        <v>17</v>
      </c>
      <c r="F59" t="s">
        <v>53</v>
      </c>
      <c r="G59" t="s">
        <v>54</v>
      </c>
      <c r="H59" t="s">
        <v>20</v>
      </c>
      <c r="I59" t="s">
        <v>21</v>
      </c>
      <c r="J59" t="s">
        <v>41</v>
      </c>
      <c r="K59" t="s">
        <v>23</v>
      </c>
      <c r="L59">
        <v>3</v>
      </c>
      <c r="M59">
        <v>1</v>
      </c>
      <c r="N59" t="s">
        <v>37</v>
      </c>
      <c r="O59" t="s">
        <v>37</v>
      </c>
      <c r="P59" t="s">
        <v>25</v>
      </c>
      <c r="Q59">
        <v>22968</v>
      </c>
    </row>
    <row r="60" spans="1:17" x14ac:dyDescent="0.35">
      <c r="A60" t="s">
        <v>69</v>
      </c>
      <c r="B60">
        <v>6</v>
      </c>
      <c r="C60" t="s">
        <v>40</v>
      </c>
      <c r="D60" t="s">
        <v>64</v>
      </c>
      <c r="E60" t="s">
        <v>65</v>
      </c>
      <c r="F60" t="s">
        <v>53</v>
      </c>
      <c r="G60" t="s">
        <v>54</v>
      </c>
      <c r="H60" t="s">
        <v>20</v>
      </c>
      <c r="I60" t="s">
        <v>66</v>
      </c>
      <c r="J60" t="s">
        <v>41</v>
      </c>
      <c r="K60" t="s">
        <v>23</v>
      </c>
      <c r="L60">
        <v>3</v>
      </c>
      <c r="M60">
        <v>1</v>
      </c>
      <c r="N60" t="s">
        <v>31</v>
      </c>
      <c r="O60" t="s">
        <v>47</v>
      </c>
      <c r="P60" t="s">
        <v>43</v>
      </c>
      <c r="Q60">
        <v>23504</v>
      </c>
    </row>
    <row r="61" spans="1:17" x14ac:dyDescent="0.35">
      <c r="A61" t="s">
        <v>69</v>
      </c>
      <c r="B61">
        <v>12</v>
      </c>
      <c r="C61" t="s">
        <v>40</v>
      </c>
      <c r="D61" t="s">
        <v>64</v>
      </c>
      <c r="E61" t="s">
        <v>65</v>
      </c>
      <c r="F61" t="s">
        <v>53</v>
      </c>
      <c r="G61" t="s">
        <v>54</v>
      </c>
      <c r="H61" t="s">
        <v>20</v>
      </c>
      <c r="I61" t="s">
        <v>66</v>
      </c>
      <c r="J61" t="s">
        <v>41</v>
      </c>
      <c r="K61" t="s">
        <v>23</v>
      </c>
      <c r="L61">
        <v>3</v>
      </c>
      <c r="M61">
        <v>1</v>
      </c>
      <c r="N61" t="s">
        <v>37</v>
      </c>
      <c r="O61" t="s">
        <v>37</v>
      </c>
      <c r="P61" t="s">
        <v>25</v>
      </c>
      <c r="Q61">
        <v>26121</v>
      </c>
    </row>
    <row r="62" spans="1:17" x14ac:dyDescent="0.35">
      <c r="A62" t="s">
        <v>70</v>
      </c>
      <c r="B62">
        <v>6</v>
      </c>
      <c r="C62" t="s">
        <v>52</v>
      </c>
      <c r="D62" t="s">
        <v>64</v>
      </c>
      <c r="E62" t="s">
        <v>65</v>
      </c>
      <c r="F62" t="s">
        <v>53</v>
      </c>
      <c r="G62" t="s">
        <v>68</v>
      </c>
      <c r="H62" t="s">
        <v>20</v>
      </c>
      <c r="I62" t="s">
        <v>21</v>
      </c>
      <c r="J62" t="s">
        <v>41</v>
      </c>
      <c r="K62" t="s">
        <v>23</v>
      </c>
      <c r="L62">
        <v>3</v>
      </c>
      <c r="M62">
        <v>1</v>
      </c>
      <c r="N62" t="s">
        <v>31</v>
      </c>
      <c r="O62" t="s">
        <v>31</v>
      </c>
      <c r="P62" t="s">
        <v>25</v>
      </c>
      <c r="Q62">
        <v>83220</v>
      </c>
    </row>
    <row r="63" spans="1:17" x14ac:dyDescent="0.35">
      <c r="A63" t="s">
        <v>70</v>
      </c>
      <c r="B63">
        <v>12</v>
      </c>
      <c r="C63" t="s">
        <v>52</v>
      </c>
      <c r="D63" t="s">
        <v>64</v>
      </c>
      <c r="E63" t="s">
        <v>65</v>
      </c>
      <c r="F63" t="s">
        <v>53</v>
      </c>
      <c r="G63" t="s">
        <v>68</v>
      </c>
      <c r="H63" t="s">
        <v>20</v>
      </c>
      <c r="I63" t="s">
        <v>21</v>
      </c>
      <c r="J63" t="s">
        <v>41</v>
      </c>
      <c r="K63" t="s">
        <v>23</v>
      </c>
      <c r="L63">
        <v>3</v>
      </c>
      <c r="M63">
        <v>1</v>
      </c>
      <c r="N63" t="s">
        <v>37</v>
      </c>
      <c r="O63" t="s">
        <v>37</v>
      </c>
      <c r="P63" t="s">
        <v>25</v>
      </c>
      <c r="Q63" s="1">
        <v>20419</v>
      </c>
    </row>
    <row r="64" spans="1:17" x14ac:dyDescent="0.35">
      <c r="A64" t="s">
        <v>74</v>
      </c>
      <c r="B64">
        <v>6</v>
      </c>
      <c r="C64" t="s">
        <v>15</v>
      </c>
      <c r="D64" t="s">
        <v>16</v>
      </c>
      <c r="E64" t="s">
        <v>17</v>
      </c>
      <c r="F64" t="s">
        <v>18</v>
      </c>
      <c r="G64" t="s">
        <v>54</v>
      </c>
      <c r="H64" t="s">
        <v>20</v>
      </c>
      <c r="I64" t="s">
        <v>21</v>
      </c>
      <c r="J64" t="s">
        <v>41</v>
      </c>
      <c r="K64" t="s">
        <v>23</v>
      </c>
      <c r="L64">
        <v>3</v>
      </c>
      <c r="M64">
        <v>1</v>
      </c>
      <c r="N64" t="s">
        <v>31</v>
      </c>
      <c r="O64" t="s">
        <v>31</v>
      </c>
      <c r="P64" t="s">
        <v>25</v>
      </c>
      <c r="Q64">
        <v>21816</v>
      </c>
    </row>
    <row r="65" spans="1:17" x14ac:dyDescent="0.35">
      <c r="A65" t="s">
        <v>74</v>
      </c>
      <c r="B65">
        <v>12</v>
      </c>
      <c r="C65" t="s">
        <v>15</v>
      </c>
      <c r="D65" t="s">
        <v>16</v>
      </c>
      <c r="E65" t="s">
        <v>17</v>
      </c>
      <c r="F65" t="s">
        <v>18</v>
      </c>
      <c r="G65" t="s">
        <v>54</v>
      </c>
      <c r="H65" t="s">
        <v>20</v>
      </c>
      <c r="I65" t="s">
        <v>21</v>
      </c>
      <c r="J65" t="s">
        <v>41</v>
      </c>
      <c r="K65" t="s">
        <v>23</v>
      </c>
      <c r="L65">
        <v>3</v>
      </c>
      <c r="M65">
        <v>1</v>
      </c>
      <c r="N65" t="s">
        <v>37</v>
      </c>
      <c r="O65" t="s">
        <v>37</v>
      </c>
      <c r="P65" t="s">
        <v>25</v>
      </c>
      <c r="Q65">
        <v>19160</v>
      </c>
    </row>
    <row r="66" spans="1:17" x14ac:dyDescent="0.35">
      <c r="A66" t="s">
        <v>76</v>
      </c>
      <c r="B66">
        <v>6</v>
      </c>
      <c r="C66" t="s">
        <v>15</v>
      </c>
      <c r="D66" t="s">
        <v>16</v>
      </c>
      <c r="E66" t="s">
        <v>17</v>
      </c>
      <c r="F66" t="s">
        <v>18</v>
      </c>
      <c r="G66" t="s">
        <v>72</v>
      </c>
      <c r="H66" t="s">
        <v>20</v>
      </c>
      <c r="I66" t="s">
        <v>21</v>
      </c>
      <c r="J66" t="s">
        <v>22</v>
      </c>
      <c r="K66" t="s">
        <v>23</v>
      </c>
      <c r="L66">
        <v>3</v>
      </c>
      <c r="M66">
        <v>1</v>
      </c>
      <c r="N66" t="s">
        <v>31</v>
      </c>
      <c r="O66" t="s">
        <v>47</v>
      </c>
      <c r="P66" t="s">
        <v>43</v>
      </c>
      <c r="Q66">
        <v>16926</v>
      </c>
    </row>
    <row r="67" spans="1:17" x14ac:dyDescent="0.35">
      <c r="A67" t="s">
        <v>76</v>
      </c>
      <c r="B67">
        <v>12</v>
      </c>
      <c r="C67" t="s">
        <v>15</v>
      </c>
      <c r="D67" t="s">
        <v>16</v>
      </c>
      <c r="E67" t="s">
        <v>17</v>
      </c>
      <c r="F67" t="s">
        <v>18</v>
      </c>
      <c r="G67" t="s">
        <v>72</v>
      </c>
      <c r="H67" t="s">
        <v>20</v>
      </c>
      <c r="I67" t="s">
        <v>21</v>
      </c>
      <c r="J67" t="s">
        <v>22</v>
      </c>
      <c r="K67" t="s">
        <v>23</v>
      </c>
      <c r="L67">
        <v>3</v>
      </c>
      <c r="M67">
        <v>1</v>
      </c>
      <c r="N67" t="s">
        <v>37</v>
      </c>
      <c r="O67" t="s">
        <v>50</v>
      </c>
      <c r="P67" t="s">
        <v>43</v>
      </c>
      <c r="Q67">
        <v>20146</v>
      </c>
    </row>
    <row r="68" spans="1:17" x14ac:dyDescent="0.35">
      <c r="A68" t="s">
        <v>77</v>
      </c>
      <c r="B68">
        <v>6</v>
      </c>
      <c r="C68" t="s">
        <v>15</v>
      </c>
      <c r="D68" t="s">
        <v>16</v>
      </c>
      <c r="E68" t="s">
        <v>17</v>
      </c>
      <c r="F68" t="s">
        <v>18</v>
      </c>
      <c r="G68" t="s">
        <v>54</v>
      </c>
      <c r="H68" t="s">
        <v>20</v>
      </c>
      <c r="I68" t="s">
        <v>21</v>
      </c>
      <c r="J68" t="s">
        <v>41</v>
      </c>
      <c r="K68" t="s">
        <v>23</v>
      </c>
      <c r="L68">
        <v>3</v>
      </c>
      <c r="M68">
        <v>1</v>
      </c>
      <c r="N68" t="s">
        <v>31</v>
      </c>
      <c r="O68" t="s">
        <v>47</v>
      </c>
      <c r="P68" t="s">
        <v>43</v>
      </c>
      <c r="Q68">
        <v>17965</v>
      </c>
    </row>
    <row r="69" spans="1:17" x14ac:dyDescent="0.35">
      <c r="A69" t="s">
        <v>77</v>
      </c>
      <c r="B69">
        <v>12</v>
      </c>
      <c r="C69" t="s">
        <v>15</v>
      </c>
      <c r="D69" t="s">
        <v>16</v>
      </c>
      <c r="E69" t="s">
        <v>17</v>
      </c>
      <c r="F69" t="s">
        <v>18</v>
      </c>
      <c r="G69" t="s">
        <v>54</v>
      </c>
      <c r="H69" t="s">
        <v>20</v>
      </c>
      <c r="I69" t="s">
        <v>21</v>
      </c>
      <c r="J69" t="s">
        <v>41</v>
      </c>
      <c r="K69" t="s">
        <v>23</v>
      </c>
      <c r="L69">
        <v>3</v>
      </c>
      <c r="M69">
        <v>1</v>
      </c>
      <c r="N69" t="s">
        <v>37</v>
      </c>
      <c r="O69" t="s">
        <v>50</v>
      </c>
      <c r="P69" t="s">
        <v>43</v>
      </c>
      <c r="Q69">
        <v>15528</v>
      </c>
    </row>
    <row r="70" spans="1:17" x14ac:dyDescent="0.35">
      <c r="A70" t="s">
        <v>79</v>
      </c>
      <c r="B70">
        <v>6</v>
      </c>
      <c r="C70" t="s">
        <v>40</v>
      </c>
      <c r="D70" t="s">
        <v>64</v>
      </c>
      <c r="E70" t="s">
        <v>17</v>
      </c>
      <c r="F70" t="s">
        <v>53</v>
      </c>
      <c r="G70" t="s">
        <v>72</v>
      </c>
      <c r="H70" t="s">
        <v>20</v>
      </c>
      <c r="I70" t="s">
        <v>78</v>
      </c>
      <c r="J70" t="s">
        <v>61</v>
      </c>
      <c r="K70" t="s">
        <v>23</v>
      </c>
      <c r="L70">
        <v>3</v>
      </c>
      <c r="M70">
        <v>1</v>
      </c>
      <c r="N70" t="s">
        <v>31</v>
      </c>
      <c r="O70" t="s">
        <v>31</v>
      </c>
      <c r="P70" t="s">
        <v>25</v>
      </c>
      <c r="Q70">
        <v>25314</v>
      </c>
    </row>
    <row r="71" spans="1:17" x14ac:dyDescent="0.35">
      <c r="A71" t="s">
        <v>79</v>
      </c>
      <c r="B71">
        <v>12</v>
      </c>
      <c r="C71" t="s">
        <v>40</v>
      </c>
      <c r="D71" t="s">
        <v>64</v>
      </c>
      <c r="E71" t="s">
        <v>17</v>
      </c>
      <c r="F71" t="s">
        <v>53</v>
      </c>
      <c r="G71" t="s">
        <v>72</v>
      </c>
      <c r="H71" t="s">
        <v>20</v>
      </c>
      <c r="I71" t="s">
        <v>78</v>
      </c>
      <c r="J71" t="s">
        <v>61</v>
      </c>
      <c r="K71" t="s">
        <v>23</v>
      </c>
      <c r="L71">
        <v>3</v>
      </c>
      <c r="M71">
        <v>1</v>
      </c>
      <c r="N71" t="s">
        <v>37</v>
      </c>
      <c r="O71" t="s">
        <v>37</v>
      </c>
      <c r="P71" t="s">
        <v>25</v>
      </c>
      <c r="Q71">
        <v>21005</v>
      </c>
    </row>
    <row r="72" spans="1:17" x14ac:dyDescent="0.35">
      <c r="A72" t="s">
        <v>80</v>
      </c>
      <c r="B72">
        <v>6</v>
      </c>
      <c r="C72" t="s">
        <v>52</v>
      </c>
      <c r="D72" t="s">
        <v>64</v>
      </c>
      <c r="E72" t="s">
        <v>65</v>
      </c>
      <c r="F72" t="s">
        <v>18</v>
      </c>
      <c r="G72" t="s">
        <v>72</v>
      </c>
      <c r="H72" t="s">
        <v>20</v>
      </c>
      <c r="I72" t="s">
        <v>78</v>
      </c>
      <c r="J72" t="s">
        <v>22</v>
      </c>
      <c r="K72" t="s">
        <v>23</v>
      </c>
      <c r="L72">
        <v>3</v>
      </c>
      <c r="M72">
        <v>1</v>
      </c>
      <c r="N72" t="s">
        <v>31</v>
      </c>
      <c r="O72" t="s">
        <v>47</v>
      </c>
      <c r="P72" t="s">
        <v>43</v>
      </c>
      <c r="Q72">
        <v>21578</v>
      </c>
    </row>
    <row r="73" spans="1:17" x14ac:dyDescent="0.35">
      <c r="A73" t="s">
        <v>80</v>
      </c>
      <c r="B73">
        <v>12</v>
      </c>
      <c r="C73" t="s">
        <v>52</v>
      </c>
      <c r="D73" t="s">
        <v>64</v>
      </c>
      <c r="E73" t="s">
        <v>65</v>
      </c>
      <c r="F73" t="s">
        <v>18</v>
      </c>
      <c r="G73" t="s">
        <v>72</v>
      </c>
      <c r="H73" t="s">
        <v>20</v>
      </c>
      <c r="I73" t="s">
        <v>78</v>
      </c>
      <c r="J73" t="s">
        <v>22</v>
      </c>
      <c r="K73" t="s">
        <v>23</v>
      </c>
      <c r="L73">
        <v>3</v>
      </c>
      <c r="M73">
        <v>1</v>
      </c>
      <c r="N73" t="s">
        <v>37</v>
      </c>
      <c r="O73" t="s">
        <v>50</v>
      </c>
      <c r="P73" t="s">
        <v>43</v>
      </c>
      <c r="Q73">
        <v>21354</v>
      </c>
    </row>
    <row r="74" spans="1:17" x14ac:dyDescent="0.35">
      <c r="A74" t="s">
        <v>81</v>
      </c>
      <c r="B74">
        <v>6</v>
      </c>
      <c r="C74" t="s">
        <v>52</v>
      </c>
      <c r="D74" t="s">
        <v>64</v>
      </c>
      <c r="E74" t="s">
        <v>65</v>
      </c>
      <c r="F74" t="s">
        <v>53</v>
      </c>
      <c r="G74" t="s">
        <v>19</v>
      </c>
      <c r="H74" t="s">
        <v>55</v>
      </c>
      <c r="I74" t="s">
        <v>66</v>
      </c>
      <c r="J74" t="s">
        <v>41</v>
      </c>
      <c r="K74" t="s">
        <v>23</v>
      </c>
      <c r="L74">
        <v>3</v>
      </c>
      <c r="M74">
        <v>1</v>
      </c>
      <c r="N74" t="s">
        <v>31</v>
      </c>
      <c r="O74" t="s">
        <v>31</v>
      </c>
      <c r="P74" t="s">
        <v>25</v>
      </c>
      <c r="Q74">
        <v>34721</v>
      </c>
    </row>
    <row r="75" spans="1:17" x14ac:dyDescent="0.35">
      <c r="A75" t="s">
        <v>81</v>
      </c>
      <c r="B75">
        <v>12</v>
      </c>
      <c r="C75" t="s">
        <v>52</v>
      </c>
      <c r="D75" t="s">
        <v>64</v>
      </c>
      <c r="E75" t="s">
        <v>65</v>
      </c>
      <c r="F75" t="s">
        <v>53</v>
      </c>
      <c r="G75" t="s">
        <v>19</v>
      </c>
      <c r="H75" t="s">
        <v>55</v>
      </c>
      <c r="I75" t="s">
        <v>66</v>
      </c>
      <c r="J75" t="s">
        <v>41</v>
      </c>
      <c r="K75" t="s">
        <v>23</v>
      </c>
      <c r="L75">
        <v>3</v>
      </c>
      <c r="M75">
        <v>1</v>
      </c>
      <c r="N75" t="s">
        <v>37</v>
      </c>
      <c r="O75" t="s">
        <v>37</v>
      </c>
      <c r="P75" t="s">
        <v>25</v>
      </c>
      <c r="Q75">
        <v>28447</v>
      </c>
    </row>
    <row r="76" spans="1:17" x14ac:dyDescent="0.35">
      <c r="A76" t="s">
        <v>84</v>
      </c>
      <c r="B76">
        <v>6</v>
      </c>
      <c r="C76" t="s">
        <v>15</v>
      </c>
      <c r="D76" t="s">
        <v>64</v>
      </c>
      <c r="E76" t="s">
        <v>65</v>
      </c>
      <c r="F76" t="s">
        <v>53</v>
      </c>
      <c r="G76" t="s">
        <v>82</v>
      </c>
      <c r="H76" t="s">
        <v>20</v>
      </c>
      <c r="I76" t="s">
        <v>83</v>
      </c>
      <c r="J76" t="s">
        <v>61</v>
      </c>
      <c r="K76" t="s">
        <v>23</v>
      </c>
      <c r="L76">
        <v>3</v>
      </c>
      <c r="M76">
        <v>1</v>
      </c>
      <c r="N76" t="s">
        <v>31</v>
      </c>
      <c r="O76" t="s">
        <v>31</v>
      </c>
      <c r="P76" t="s">
        <v>25</v>
      </c>
      <c r="Q76">
        <v>22531</v>
      </c>
    </row>
    <row r="77" spans="1:17" x14ac:dyDescent="0.35">
      <c r="A77" t="s">
        <v>84</v>
      </c>
      <c r="B77">
        <v>12</v>
      </c>
      <c r="C77" t="s">
        <v>15</v>
      </c>
      <c r="D77" t="s">
        <v>64</v>
      </c>
      <c r="E77" t="s">
        <v>65</v>
      </c>
      <c r="F77" t="s">
        <v>53</v>
      </c>
      <c r="G77" t="s">
        <v>82</v>
      </c>
      <c r="H77" t="s">
        <v>20</v>
      </c>
      <c r="I77" t="s">
        <v>83</v>
      </c>
      <c r="J77" t="s">
        <v>61</v>
      </c>
      <c r="K77" t="s">
        <v>23</v>
      </c>
      <c r="L77">
        <v>3</v>
      </c>
      <c r="M77">
        <v>1</v>
      </c>
      <c r="N77" t="s">
        <v>37</v>
      </c>
      <c r="O77" t="s">
        <v>37</v>
      </c>
      <c r="P77" t="s">
        <v>25</v>
      </c>
      <c r="Q77">
        <v>22495</v>
      </c>
    </row>
    <row r="78" spans="1:17" x14ac:dyDescent="0.35">
      <c r="A78" t="s">
        <v>87</v>
      </c>
      <c r="B78">
        <v>6</v>
      </c>
      <c r="C78" t="s">
        <v>52</v>
      </c>
      <c r="D78" t="s">
        <v>64</v>
      </c>
      <c r="E78" t="s">
        <v>65</v>
      </c>
      <c r="F78" t="s">
        <v>85</v>
      </c>
      <c r="G78" t="s">
        <v>54</v>
      </c>
      <c r="H78" t="s">
        <v>55</v>
      </c>
      <c r="I78" t="s">
        <v>21</v>
      </c>
      <c r="J78" t="s">
        <v>41</v>
      </c>
      <c r="K78" t="s">
        <v>23</v>
      </c>
      <c r="L78">
        <v>3</v>
      </c>
      <c r="M78">
        <v>1</v>
      </c>
      <c r="N78" t="s">
        <v>31</v>
      </c>
      <c r="O78" t="s">
        <v>31</v>
      </c>
      <c r="P78" t="s">
        <v>25</v>
      </c>
      <c r="Q78">
        <v>43201</v>
      </c>
    </row>
    <row r="79" spans="1:17" x14ac:dyDescent="0.35">
      <c r="A79" t="s">
        <v>87</v>
      </c>
      <c r="B79">
        <v>12</v>
      </c>
      <c r="C79" t="s">
        <v>52</v>
      </c>
      <c r="D79" t="s">
        <v>64</v>
      </c>
      <c r="E79" t="s">
        <v>65</v>
      </c>
      <c r="F79" t="s">
        <v>85</v>
      </c>
      <c r="G79" t="s">
        <v>54</v>
      </c>
      <c r="H79" t="s">
        <v>55</v>
      </c>
      <c r="I79" t="s">
        <v>21</v>
      </c>
      <c r="J79" t="s">
        <v>41</v>
      </c>
      <c r="K79" t="s">
        <v>23</v>
      </c>
      <c r="L79">
        <v>3</v>
      </c>
      <c r="M79">
        <v>1</v>
      </c>
      <c r="N79" t="s">
        <v>37</v>
      </c>
      <c r="O79" t="s">
        <v>37</v>
      </c>
      <c r="P79" t="s">
        <v>25</v>
      </c>
      <c r="Q79">
        <v>60751</v>
      </c>
    </row>
    <row r="80" spans="1:17" x14ac:dyDescent="0.35">
      <c r="A80" t="s">
        <v>90</v>
      </c>
      <c r="B80">
        <v>6</v>
      </c>
      <c r="C80" t="s">
        <v>40</v>
      </c>
      <c r="D80" t="s">
        <v>64</v>
      </c>
      <c r="E80" t="s">
        <v>65</v>
      </c>
      <c r="F80" t="s">
        <v>18</v>
      </c>
      <c r="G80" t="s">
        <v>19</v>
      </c>
      <c r="H80" t="s">
        <v>88</v>
      </c>
      <c r="I80" t="s">
        <v>89</v>
      </c>
      <c r="J80" t="s">
        <v>41</v>
      </c>
      <c r="K80" t="s">
        <v>23</v>
      </c>
      <c r="L80">
        <v>3</v>
      </c>
      <c r="M80">
        <v>1</v>
      </c>
      <c r="N80" t="s">
        <v>31</v>
      </c>
      <c r="O80" t="s">
        <v>31</v>
      </c>
      <c r="P80" t="s">
        <v>25</v>
      </c>
      <c r="Q80">
        <v>24724</v>
      </c>
    </row>
    <row r="81" spans="1:17" x14ac:dyDescent="0.35">
      <c r="A81" t="s">
        <v>90</v>
      </c>
      <c r="B81">
        <v>12</v>
      </c>
      <c r="C81" t="s">
        <v>40</v>
      </c>
      <c r="D81" t="s">
        <v>64</v>
      </c>
      <c r="E81" t="s">
        <v>65</v>
      </c>
      <c r="F81" t="s">
        <v>18</v>
      </c>
      <c r="G81" t="s">
        <v>19</v>
      </c>
      <c r="H81" t="s">
        <v>88</v>
      </c>
      <c r="I81" t="s">
        <v>89</v>
      </c>
      <c r="J81" t="s">
        <v>41</v>
      </c>
      <c r="K81" t="s">
        <v>23</v>
      </c>
      <c r="L81">
        <v>3</v>
      </c>
      <c r="M81">
        <v>1</v>
      </c>
      <c r="N81" t="s">
        <v>37</v>
      </c>
      <c r="O81" t="s">
        <v>37</v>
      </c>
      <c r="P81" t="s">
        <v>25</v>
      </c>
      <c r="Q81">
        <v>27337</v>
      </c>
    </row>
    <row r="82" spans="1:17" x14ac:dyDescent="0.35">
      <c r="A82" t="s">
        <v>91</v>
      </c>
      <c r="B82">
        <v>6</v>
      </c>
      <c r="C82" t="s">
        <v>15</v>
      </c>
      <c r="D82" t="s">
        <v>64</v>
      </c>
      <c r="E82" t="s">
        <v>65</v>
      </c>
      <c r="F82" t="s">
        <v>18</v>
      </c>
      <c r="G82" t="s">
        <v>68</v>
      </c>
      <c r="H82" t="s">
        <v>20</v>
      </c>
      <c r="I82" t="s">
        <v>66</v>
      </c>
      <c r="J82" t="s">
        <v>41</v>
      </c>
      <c r="K82" t="s">
        <v>23</v>
      </c>
      <c r="L82">
        <v>3</v>
      </c>
      <c r="M82">
        <v>1</v>
      </c>
      <c r="N82" t="s">
        <v>31</v>
      </c>
      <c r="O82" t="s">
        <v>31</v>
      </c>
      <c r="P82" t="s">
        <v>25</v>
      </c>
      <c r="Q82">
        <v>26507</v>
      </c>
    </row>
    <row r="83" spans="1:17" x14ac:dyDescent="0.35">
      <c r="A83" t="s">
        <v>91</v>
      </c>
      <c r="B83">
        <v>12</v>
      </c>
      <c r="C83" t="s">
        <v>15</v>
      </c>
      <c r="D83" t="s">
        <v>64</v>
      </c>
      <c r="E83" t="s">
        <v>65</v>
      </c>
      <c r="F83" t="s">
        <v>18</v>
      </c>
      <c r="G83" t="s">
        <v>68</v>
      </c>
      <c r="H83" t="s">
        <v>20</v>
      </c>
      <c r="I83" t="s">
        <v>66</v>
      </c>
      <c r="J83" t="s">
        <v>41</v>
      </c>
      <c r="K83" t="s">
        <v>23</v>
      </c>
      <c r="L83">
        <v>3</v>
      </c>
      <c r="M83">
        <v>1</v>
      </c>
      <c r="N83" t="s">
        <v>37</v>
      </c>
      <c r="O83" t="s">
        <v>37</v>
      </c>
      <c r="P83" t="s">
        <v>25</v>
      </c>
      <c r="Q83">
        <v>26754</v>
      </c>
    </row>
    <row r="84" spans="1:17" x14ac:dyDescent="0.35">
      <c r="A84" t="s">
        <v>92</v>
      </c>
      <c r="B84">
        <v>6</v>
      </c>
      <c r="C84" t="s">
        <v>40</v>
      </c>
      <c r="D84" t="s">
        <v>64</v>
      </c>
      <c r="E84" t="s">
        <v>65</v>
      </c>
      <c r="F84" t="s">
        <v>18</v>
      </c>
      <c r="G84" t="s">
        <v>54</v>
      </c>
      <c r="H84" t="s">
        <v>55</v>
      </c>
      <c r="I84" t="s">
        <v>78</v>
      </c>
      <c r="J84" t="s">
        <v>41</v>
      </c>
      <c r="K84" t="s">
        <v>23</v>
      </c>
      <c r="L84">
        <v>3</v>
      </c>
      <c r="M84">
        <v>1</v>
      </c>
      <c r="N84" t="s">
        <v>31</v>
      </c>
      <c r="O84" t="s">
        <v>31</v>
      </c>
      <c r="P84" t="s">
        <v>25</v>
      </c>
      <c r="Q84">
        <v>17499</v>
      </c>
    </row>
    <row r="85" spans="1:17" x14ac:dyDescent="0.35">
      <c r="A85" t="s">
        <v>92</v>
      </c>
      <c r="B85">
        <v>12</v>
      </c>
      <c r="C85" t="s">
        <v>40</v>
      </c>
      <c r="D85" t="s">
        <v>64</v>
      </c>
      <c r="E85" t="s">
        <v>65</v>
      </c>
      <c r="F85" t="s">
        <v>18</v>
      </c>
      <c r="G85" t="s">
        <v>54</v>
      </c>
      <c r="H85" t="s">
        <v>55</v>
      </c>
      <c r="I85" t="s">
        <v>78</v>
      </c>
      <c r="J85" t="s">
        <v>41</v>
      </c>
      <c r="K85" t="s">
        <v>23</v>
      </c>
      <c r="L85">
        <v>3</v>
      </c>
      <c r="M85">
        <v>1</v>
      </c>
      <c r="N85" t="s">
        <v>37</v>
      </c>
      <c r="O85" t="s">
        <v>37</v>
      </c>
      <c r="P85" t="s">
        <v>25</v>
      </c>
      <c r="Q85">
        <v>14854</v>
      </c>
    </row>
    <row r="86" spans="1:17" x14ac:dyDescent="0.35">
      <c r="A86" t="s">
        <v>94</v>
      </c>
      <c r="B86">
        <v>6</v>
      </c>
      <c r="C86" t="s">
        <v>40</v>
      </c>
      <c r="D86" t="s">
        <v>16</v>
      </c>
      <c r="E86" t="s">
        <v>17</v>
      </c>
      <c r="F86" t="s">
        <v>53</v>
      </c>
      <c r="G86" t="s">
        <v>54</v>
      </c>
      <c r="H86" t="s">
        <v>20</v>
      </c>
      <c r="I86" t="s">
        <v>21</v>
      </c>
      <c r="J86" t="s">
        <v>41</v>
      </c>
      <c r="K86" t="s">
        <v>23</v>
      </c>
      <c r="L86">
        <v>3</v>
      </c>
      <c r="M86">
        <v>1</v>
      </c>
      <c r="N86" t="s">
        <v>31</v>
      </c>
      <c r="O86" t="s">
        <v>31</v>
      </c>
      <c r="P86" t="s">
        <v>25</v>
      </c>
      <c r="Q86">
        <v>32616</v>
      </c>
    </row>
    <row r="87" spans="1:17" x14ac:dyDescent="0.35">
      <c r="A87" t="s">
        <v>94</v>
      </c>
      <c r="B87">
        <v>12</v>
      </c>
      <c r="C87" t="s">
        <v>40</v>
      </c>
      <c r="D87" t="s">
        <v>16</v>
      </c>
      <c r="E87" t="s">
        <v>17</v>
      </c>
      <c r="F87" t="s">
        <v>53</v>
      </c>
      <c r="G87" t="s">
        <v>54</v>
      </c>
      <c r="H87" t="s">
        <v>20</v>
      </c>
      <c r="I87" t="s">
        <v>21</v>
      </c>
      <c r="J87" t="s">
        <v>41</v>
      </c>
      <c r="K87" t="s">
        <v>23</v>
      </c>
      <c r="L87">
        <v>3</v>
      </c>
      <c r="M87">
        <v>1</v>
      </c>
      <c r="N87" t="s">
        <v>37</v>
      </c>
      <c r="O87" t="s">
        <v>37</v>
      </c>
      <c r="P87" t="s">
        <v>25</v>
      </c>
      <c r="Q87">
        <v>28608</v>
      </c>
    </row>
    <row r="88" spans="1:17" x14ac:dyDescent="0.35">
      <c r="A88" t="s">
        <v>101</v>
      </c>
      <c r="B88">
        <v>6</v>
      </c>
      <c r="C88" t="s">
        <v>15</v>
      </c>
      <c r="D88" t="s">
        <v>64</v>
      </c>
      <c r="E88" t="s">
        <v>65</v>
      </c>
      <c r="F88" t="s">
        <v>53</v>
      </c>
      <c r="G88" t="s">
        <v>82</v>
      </c>
      <c r="H88" t="s">
        <v>55</v>
      </c>
      <c r="I88" t="s">
        <v>83</v>
      </c>
      <c r="J88" t="s">
        <v>22</v>
      </c>
      <c r="K88" t="s">
        <v>23</v>
      </c>
      <c r="L88">
        <v>3</v>
      </c>
      <c r="M88">
        <v>1</v>
      </c>
      <c r="N88" t="s">
        <v>31</v>
      </c>
      <c r="O88" t="s">
        <v>31</v>
      </c>
      <c r="P88" t="s">
        <v>25</v>
      </c>
      <c r="Q88">
        <v>23551</v>
      </c>
    </row>
    <row r="89" spans="1:17" x14ac:dyDescent="0.35">
      <c r="A89" t="s">
        <v>101</v>
      </c>
      <c r="B89">
        <v>12</v>
      </c>
      <c r="C89" t="s">
        <v>15</v>
      </c>
      <c r="D89" t="s">
        <v>64</v>
      </c>
      <c r="E89" t="s">
        <v>65</v>
      </c>
      <c r="F89" t="s">
        <v>53</v>
      </c>
      <c r="G89" t="s">
        <v>82</v>
      </c>
      <c r="H89" t="s">
        <v>55</v>
      </c>
      <c r="I89" t="s">
        <v>83</v>
      </c>
      <c r="J89" t="s">
        <v>22</v>
      </c>
      <c r="K89" t="s">
        <v>23</v>
      </c>
      <c r="L89">
        <v>3</v>
      </c>
      <c r="M89">
        <v>1</v>
      </c>
      <c r="N89" t="s">
        <v>37</v>
      </c>
      <c r="O89" t="s">
        <v>37</v>
      </c>
      <c r="P89" t="s">
        <v>25</v>
      </c>
      <c r="Q89">
        <v>18103</v>
      </c>
    </row>
    <row r="90" spans="1:17" x14ac:dyDescent="0.35">
      <c r="A90" t="s">
        <v>39</v>
      </c>
      <c r="B90">
        <v>1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>
        <v>5</v>
      </c>
      <c r="M90">
        <v>1</v>
      </c>
      <c r="N90" t="s">
        <v>24</v>
      </c>
      <c r="O90" t="s">
        <v>24</v>
      </c>
      <c r="P90" t="s">
        <v>25</v>
      </c>
      <c r="Q90">
        <v>64137</v>
      </c>
    </row>
    <row r="91" spans="1:17" x14ac:dyDescent="0.35">
      <c r="A91" t="s">
        <v>39</v>
      </c>
      <c r="B91">
        <v>10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>
        <v>5</v>
      </c>
      <c r="M91">
        <v>1</v>
      </c>
      <c r="N91" t="s">
        <v>35</v>
      </c>
      <c r="O91" t="s">
        <v>35</v>
      </c>
      <c r="P91" t="s">
        <v>25</v>
      </c>
      <c r="Q91">
        <v>50635</v>
      </c>
    </row>
    <row r="92" spans="1:17" x14ac:dyDescent="0.35">
      <c r="A92" t="s">
        <v>51</v>
      </c>
      <c r="B92">
        <v>1</v>
      </c>
      <c r="C92" t="s">
        <v>40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41</v>
      </c>
      <c r="K92" t="s">
        <v>23</v>
      </c>
      <c r="L92">
        <v>5</v>
      </c>
      <c r="M92">
        <v>1</v>
      </c>
      <c r="N92" t="s">
        <v>24</v>
      </c>
      <c r="O92" t="s">
        <v>42</v>
      </c>
      <c r="P92" t="s">
        <v>43</v>
      </c>
      <c r="Q92">
        <v>51784</v>
      </c>
    </row>
    <row r="93" spans="1:17" x14ac:dyDescent="0.35">
      <c r="A93" t="s">
        <v>51</v>
      </c>
      <c r="B93">
        <v>10</v>
      </c>
      <c r="C93" t="s">
        <v>40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41</v>
      </c>
      <c r="K93" t="s">
        <v>23</v>
      </c>
      <c r="L93">
        <v>5</v>
      </c>
      <c r="M93">
        <v>1</v>
      </c>
      <c r="N93" t="s">
        <v>35</v>
      </c>
      <c r="O93" t="s">
        <v>48</v>
      </c>
      <c r="P93" t="s">
        <v>43</v>
      </c>
      <c r="Q93">
        <v>39091</v>
      </c>
    </row>
    <row r="94" spans="1:17" x14ac:dyDescent="0.35">
      <c r="A94" t="s">
        <v>58</v>
      </c>
      <c r="B94">
        <v>1</v>
      </c>
      <c r="C94" t="s">
        <v>52</v>
      </c>
      <c r="D94" t="s">
        <v>16</v>
      </c>
      <c r="E94" t="s">
        <v>17</v>
      </c>
      <c r="F94" t="s">
        <v>53</v>
      </c>
      <c r="G94" t="s">
        <v>54</v>
      </c>
      <c r="H94" t="s">
        <v>55</v>
      </c>
      <c r="I94" t="s">
        <v>56</v>
      </c>
      <c r="J94" t="s">
        <v>22</v>
      </c>
      <c r="K94" t="s">
        <v>23</v>
      </c>
      <c r="L94">
        <v>5</v>
      </c>
      <c r="M94">
        <v>1</v>
      </c>
      <c r="N94" t="s">
        <v>24</v>
      </c>
      <c r="O94" t="s">
        <v>24</v>
      </c>
      <c r="P94" t="s">
        <v>25</v>
      </c>
      <c r="Q94">
        <v>83605</v>
      </c>
    </row>
    <row r="95" spans="1:17" x14ac:dyDescent="0.35">
      <c r="A95" t="s">
        <v>58</v>
      </c>
      <c r="B95">
        <v>10</v>
      </c>
      <c r="C95" t="s">
        <v>52</v>
      </c>
      <c r="D95" t="s">
        <v>16</v>
      </c>
      <c r="E95" t="s">
        <v>17</v>
      </c>
      <c r="F95" t="s">
        <v>53</v>
      </c>
      <c r="G95" t="s">
        <v>54</v>
      </c>
      <c r="H95" t="s">
        <v>55</v>
      </c>
      <c r="I95" t="s">
        <v>56</v>
      </c>
      <c r="J95" t="s">
        <v>22</v>
      </c>
      <c r="K95" t="s">
        <v>23</v>
      </c>
      <c r="L95">
        <v>5</v>
      </c>
      <c r="M95">
        <v>1</v>
      </c>
      <c r="N95" t="s">
        <v>35</v>
      </c>
      <c r="O95" t="s">
        <v>35</v>
      </c>
      <c r="P95" t="s">
        <v>25</v>
      </c>
      <c r="Q95">
        <v>41389</v>
      </c>
    </row>
    <row r="96" spans="1:17" x14ac:dyDescent="0.35">
      <c r="A96" t="s">
        <v>60</v>
      </c>
      <c r="B96">
        <v>1</v>
      </c>
      <c r="C96" t="s">
        <v>59</v>
      </c>
      <c r="D96" t="s">
        <v>16</v>
      </c>
      <c r="E96" t="s">
        <v>17</v>
      </c>
      <c r="F96" t="s">
        <v>18</v>
      </c>
      <c r="G96" t="s">
        <v>54</v>
      </c>
      <c r="H96" t="s">
        <v>55</v>
      </c>
      <c r="I96" t="s">
        <v>21</v>
      </c>
      <c r="J96" t="s">
        <v>22</v>
      </c>
      <c r="K96" t="s">
        <v>23</v>
      </c>
      <c r="L96">
        <v>5</v>
      </c>
      <c r="M96">
        <v>1</v>
      </c>
      <c r="N96" t="s">
        <v>24</v>
      </c>
      <c r="O96" t="s">
        <v>24</v>
      </c>
      <c r="P96" t="s">
        <v>25</v>
      </c>
      <c r="Q96">
        <v>63853</v>
      </c>
    </row>
    <row r="97" spans="1:17" x14ac:dyDescent="0.35">
      <c r="A97" t="s">
        <v>60</v>
      </c>
      <c r="B97">
        <v>10</v>
      </c>
      <c r="C97" t="s">
        <v>59</v>
      </c>
      <c r="D97" t="s">
        <v>16</v>
      </c>
      <c r="E97" t="s">
        <v>17</v>
      </c>
      <c r="F97" t="s">
        <v>18</v>
      </c>
      <c r="G97" t="s">
        <v>54</v>
      </c>
      <c r="H97" t="s">
        <v>55</v>
      </c>
      <c r="I97" t="s">
        <v>21</v>
      </c>
      <c r="J97" t="s">
        <v>22</v>
      </c>
      <c r="K97" t="s">
        <v>23</v>
      </c>
      <c r="L97">
        <v>5</v>
      </c>
      <c r="M97">
        <v>1</v>
      </c>
      <c r="N97" t="s">
        <v>35</v>
      </c>
      <c r="O97" t="s">
        <v>35</v>
      </c>
      <c r="P97" t="s">
        <v>25</v>
      </c>
      <c r="Q97">
        <v>38589</v>
      </c>
    </row>
    <row r="98" spans="1:17" x14ac:dyDescent="0.35">
      <c r="A98" t="s">
        <v>62</v>
      </c>
      <c r="B98">
        <v>1</v>
      </c>
      <c r="C98" t="s">
        <v>15</v>
      </c>
      <c r="D98" t="s">
        <v>16</v>
      </c>
      <c r="E98" t="s">
        <v>17</v>
      </c>
      <c r="F98" t="s">
        <v>53</v>
      </c>
      <c r="G98" t="s">
        <v>72</v>
      </c>
      <c r="H98" t="s">
        <v>20</v>
      </c>
      <c r="I98" t="s">
        <v>21</v>
      </c>
      <c r="J98" t="s">
        <v>41</v>
      </c>
      <c r="K98" t="s">
        <v>23</v>
      </c>
      <c r="L98">
        <v>5</v>
      </c>
      <c r="M98">
        <v>1</v>
      </c>
      <c r="N98" t="s">
        <v>24</v>
      </c>
      <c r="O98" t="s">
        <v>24</v>
      </c>
      <c r="P98" t="s">
        <v>25</v>
      </c>
      <c r="Q98">
        <v>44620</v>
      </c>
    </row>
    <row r="99" spans="1:17" x14ac:dyDescent="0.35">
      <c r="A99" t="s">
        <v>62</v>
      </c>
      <c r="B99">
        <v>10</v>
      </c>
      <c r="C99" t="s">
        <v>15</v>
      </c>
      <c r="D99" t="s">
        <v>16</v>
      </c>
      <c r="E99" t="s">
        <v>17</v>
      </c>
      <c r="F99" t="s">
        <v>53</v>
      </c>
      <c r="G99" t="s">
        <v>72</v>
      </c>
      <c r="H99" t="s">
        <v>20</v>
      </c>
      <c r="I99" t="s">
        <v>21</v>
      </c>
      <c r="J99" t="s">
        <v>41</v>
      </c>
      <c r="K99" t="s">
        <v>23</v>
      </c>
      <c r="L99">
        <v>5</v>
      </c>
      <c r="M99">
        <v>1</v>
      </c>
      <c r="N99" t="s">
        <v>35</v>
      </c>
      <c r="O99" t="s">
        <v>73</v>
      </c>
      <c r="P99" t="s">
        <v>43</v>
      </c>
      <c r="Q99">
        <v>50411</v>
      </c>
    </row>
    <row r="100" spans="1:17" x14ac:dyDescent="0.35">
      <c r="A100" t="s">
        <v>63</v>
      </c>
      <c r="B100">
        <v>1</v>
      </c>
      <c r="C100" t="s">
        <v>52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56</v>
      </c>
      <c r="J100" t="s">
        <v>61</v>
      </c>
      <c r="K100" t="s">
        <v>23</v>
      </c>
      <c r="L100">
        <v>5</v>
      </c>
      <c r="M100">
        <v>1</v>
      </c>
      <c r="N100" t="s">
        <v>24</v>
      </c>
      <c r="O100" t="s">
        <v>24</v>
      </c>
      <c r="P100" t="s">
        <v>25</v>
      </c>
      <c r="Q100">
        <v>42882</v>
      </c>
    </row>
    <row r="101" spans="1:17" x14ac:dyDescent="0.35">
      <c r="A101" t="s">
        <v>63</v>
      </c>
      <c r="B101">
        <v>10</v>
      </c>
      <c r="C101" t="s">
        <v>52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56</v>
      </c>
      <c r="J101" t="s">
        <v>61</v>
      </c>
      <c r="K101" t="s">
        <v>23</v>
      </c>
      <c r="L101">
        <v>5</v>
      </c>
      <c r="M101">
        <v>1</v>
      </c>
      <c r="N101" t="s">
        <v>35</v>
      </c>
      <c r="O101" t="s">
        <v>35</v>
      </c>
      <c r="P101" t="s">
        <v>25</v>
      </c>
      <c r="Q101">
        <v>40591</v>
      </c>
    </row>
    <row r="102" spans="1:17" x14ac:dyDescent="0.35">
      <c r="A102" t="s">
        <v>71</v>
      </c>
      <c r="B102">
        <v>1</v>
      </c>
      <c r="C102" t="s">
        <v>15</v>
      </c>
      <c r="D102" t="s">
        <v>16</v>
      </c>
      <c r="E102" t="s">
        <v>17</v>
      </c>
      <c r="F102" t="s">
        <v>53</v>
      </c>
      <c r="G102" t="s">
        <v>54</v>
      </c>
      <c r="H102" t="s">
        <v>20</v>
      </c>
      <c r="I102" t="s">
        <v>21</v>
      </c>
      <c r="J102" t="s">
        <v>41</v>
      </c>
      <c r="K102" t="s">
        <v>23</v>
      </c>
      <c r="L102">
        <v>5</v>
      </c>
      <c r="M102">
        <v>1</v>
      </c>
      <c r="N102" t="s">
        <v>24</v>
      </c>
      <c r="O102" t="s">
        <v>24</v>
      </c>
      <c r="P102" t="s">
        <v>25</v>
      </c>
      <c r="Q102">
        <v>56011</v>
      </c>
    </row>
    <row r="103" spans="1:17" x14ac:dyDescent="0.35">
      <c r="A103" t="s">
        <v>71</v>
      </c>
      <c r="B103">
        <v>10</v>
      </c>
      <c r="C103" t="s">
        <v>15</v>
      </c>
      <c r="D103" t="s">
        <v>16</v>
      </c>
      <c r="E103" t="s">
        <v>17</v>
      </c>
      <c r="F103" t="s">
        <v>53</v>
      </c>
      <c r="G103" t="s">
        <v>54</v>
      </c>
      <c r="H103" t="s">
        <v>20</v>
      </c>
      <c r="I103" t="s">
        <v>21</v>
      </c>
      <c r="J103" t="s">
        <v>41</v>
      </c>
      <c r="K103" t="s">
        <v>23</v>
      </c>
      <c r="L103">
        <v>5</v>
      </c>
      <c r="M103">
        <v>1</v>
      </c>
      <c r="N103" t="s">
        <v>35</v>
      </c>
      <c r="O103" t="s">
        <v>35</v>
      </c>
      <c r="P103" t="s">
        <v>25</v>
      </c>
      <c r="Q103">
        <v>40757</v>
      </c>
    </row>
    <row r="104" spans="1:17" x14ac:dyDescent="0.35">
      <c r="A104" t="s">
        <v>69</v>
      </c>
      <c r="B104">
        <v>1</v>
      </c>
      <c r="C104" t="s">
        <v>40</v>
      </c>
      <c r="D104" t="s">
        <v>64</v>
      </c>
      <c r="E104" t="s">
        <v>65</v>
      </c>
      <c r="F104" t="s">
        <v>53</v>
      </c>
      <c r="G104" t="s">
        <v>54</v>
      </c>
      <c r="H104" t="s">
        <v>20</v>
      </c>
      <c r="I104" t="s">
        <v>66</v>
      </c>
      <c r="J104" t="s">
        <v>41</v>
      </c>
      <c r="K104" t="s">
        <v>23</v>
      </c>
      <c r="L104">
        <v>5</v>
      </c>
      <c r="M104">
        <v>1</v>
      </c>
      <c r="N104" t="s">
        <v>24</v>
      </c>
      <c r="O104" t="s">
        <v>42</v>
      </c>
      <c r="P104" t="s">
        <v>43</v>
      </c>
      <c r="Q104">
        <v>51288</v>
      </c>
    </row>
    <row r="105" spans="1:17" x14ac:dyDescent="0.35">
      <c r="A105" t="s">
        <v>69</v>
      </c>
      <c r="B105">
        <v>10</v>
      </c>
      <c r="C105" t="s">
        <v>40</v>
      </c>
      <c r="D105" t="s">
        <v>64</v>
      </c>
      <c r="E105" t="s">
        <v>65</v>
      </c>
      <c r="F105" t="s">
        <v>53</v>
      </c>
      <c r="G105" t="s">
        <v>54</v>
      </c>
      <c r="H105" t="s">
        <v>20</v>
      </c>
      <c r="I105" t="s">
        <v>66</v>
      </c>
      <c r="J105" t="s">
        <v>41</v>
      </c>
      <c r="K105" t="s">
        <v>23</v>
      </c>
      <c r="L105">
        <v>5</v>
      </c>
      <c r="M105">
        <v>1</v>
      </c>
      <c r="N105" t="s">
        <v>35</v>
      </c>
      <c r="O105" t="s">
        <v>35</v>
      </c>
      <c r="P105" t="s">
        <v>25</v>
      </c>
      <c r="Q105">
        <v>38359</v>
      </c>
    </row>
    <row r="106" spans="1:17" x14ac:dyDescent="0.35">
      <c r="A106" t="s">
        <v>70</v>
      </c>
      <c r="B106">
        <v>1</v>
      </c>
      <c r="C106" t="s">
        <v>52</v>
      </c>
      <c r="D106" t="s">
        <v>64</v>
      </c>
      <c r="E106" t="s">
        <v>65</v>
      </c>
      <c r="F106" t="s">
        <v>53</v>
      </c>
      <c r="G106" t="s">
        <v>68</v>
      </c>
      <c r="H106" t="s">
        <v>20</v>
      </c>
      <c r="I106" t="s">
        <v>21</v>
      </c>
      <c r="J106" t="s">
        <v>41</v>
      </c>
      <c r="K106" t="s">
        <v>23</v>
      </c>
      <c r="L106">
        <v>5</v>
      </c>
      <c r="M106">
        <v>1</v>
      </c>
      <c r="N106" t="s">
        <v>24</v>
      </c>
      <c r="O106" t="s">
        <v>24</v>
      </c>
      <c r="P106" t="s">
        <v>25</v>
      </c>
      <c r="Q106">
        <v>281987</v>
      </c>
    </row>
    <row r="107" spans="1:17" x14ac:dyDescent="0.35">
      <c r="A107" t="s">
        <v>70</v>
      </c>
      <c r="B107">
        <v>10</v>
      </c>
      <c r="C107" t="s">
        <v>52</v>
      </c>
      <c r="D107" t="s">
        <v>64</v>
      </c>
      <c r="E107" t="s">
        <v>65</v>
      </c>
      <c r="F107" t="s">
        <v>53</v>
      </c>
      <c r="G107" t="s">
        <v>68</v>
      </c>
      <c r="H107" t="s">
        <v>20</v>
      </c>
      <c r="I107" t="s">
        <v>21</v>
      </c>
      <c r="J107" t="s">
        <v>41</v>
      </c>
      <c r="K107" t="s">
        <v>23</v>
      </c>
      <c r="L107">
        <v>5</v>
      </c>
      <c r="M107">
        <v>1</v>
      </c>
      <c r="N107" t="s">
        <v>35</v>
      </c>
      <c r="O107" t="s">
        <v>35</v>
      </c>
      <c r="P107" t="s">
        <v>25</v>
      </c>
      <c r="Q107">
        <v>50670</v>
      </c>
    </row>
    <row r="108" spans="1:17" x14ac:dyDescent="0.35">
      <c r="A108" t="s">
        <v>74</v>
      </c>
      <c r="B108">
        <v>1</v>
      </c>
      <c r="C108" t="s">
        <v>15</v>
      </c>
      <c r="D108" t="s">
        <v>16</v>
      </c>
      <c r="E108" t="s">
        <v>17</v>
      </c>
      <c r="F108" t="s">
        <v>18</v>
      </c>
      <c r="G108" t="s">
        <v>54</v>
      </c>
      <c r="H108" t="s">
        <v>20</v>
      </c>
      <c r="I108" t="s">
        <v>21</v>
      </c>
      <c r="J108" t="s">
        <v>41</v>
      </c>
      <c r="K108" t="s">
        <v>23</v>
      </c>
      <c r="L108">
        <v>5</v>
      </c>
      <c r="M108">
        <v>1</v>
      </c>
      <c r="N108" t="s">
        <v>24</v>
      </c>
      <c r="O108" t="s">
        <v>24</v>
      </c>
      <c r="P108" t="s">
        <v>25</v>
      </c>
      <c r="Q108">
        <v>38639</v>
      </c>
    </row>
    <row r="109" spans="1:17" x14ac:dyDescent="0.35">
      <c r="A109" t="s">
        <v>74</v>
      </c>
      <c r="B109">
        <v>10</v>
      </c>
      <c r="C109" t="s">
        <v>15</v>
      </c>
      <c r="D109" t="s">
        <v>16</v>
      </c>
      <c r="E109" t="s">
        <v>17</v>
      </c>
      <c r="F109" t="s">
        <v>18</v>
      </c>
      <c r="G109" t="s">
        <v>54</v>
      </c>
      <c r="H109" t="s">
        <v>20</v>
      </c>
      <c r="I109" t="s">
        <v>21</v>
      </c>
      <c r="J109" t="s">
        <v>41</v>
      </c>
      <c r="K109" t="s">
        <v>23</v>
      </c>
      <c r="L109">
        <v>5</v>
      </c>
      <c r="M109">
        <v>1</v>
      </c>
      <c r="N109" t="s">
        <v>35</v>
      </c>
      <c r="O109" t="s">
        <v>35</v>
      </c>
      <c r="P109" t="s">
        <v>25</v>
      </c>
      <c r="Q109">
        <v>36087</v>
      </c>
    </row>
    <row r="110" spans="1:17" x14ac:dyDescent="0.35">
      <c r="A110" t="s">
        <v>76</v>
      </c>
      <c r="B110">
        <v>1</v>
      </c>
      <c r="C110" t="s">
        <v>15</v>
      </c>
      <c r="D110" t="s">
        <v>16</v>
      </c>
      <c r="E110" t="s">
        <v>17</v>
      </c>
      <c r="F110" t="s">
        <v>18</v>
      </c>
      <c r="G110" t="s">
        <v>72</v>
      </c>
      <c r="H110" t="s">
        <v>20</v>
      </c>
      <c r="I110" t="s">
        <v>21</v>
      </c>
      <c r="J110" t="s">
        <v>22</v>
      </c>
      <c r="K110" t="s">
        <v>23</v>
      </c>
      <c r="L110">
        <v>5</v>
      </c>
      <c r="M110">
        <v>2</v>
      </c>
      <c r="N110" t="s">
        <v>24</v>
      </c>
      <c r="O110" t="s">
        <v>42</v>
      </c>
      <c r="P110" t="s">
        <v>43</v>
      </c>
      <c r="Q110">
        <v>30835</v>
      </c>
    </row>
    <row r="111" spans="1:17" x14ac:dyDescent="0.35">
      <c r="A111" t="s">
        <v>76</v>
      </c>
      <c r="B111">
        <v>10</v>
      </c>
      <c r="C111" t="s">
        <v>15</v>
      </c>
      <c r="D111" t="s">
        <v>16</v>
      </c>
      <c r="E111" t="s">
        <v>17</v>
      </c>
      <c r="F111" t="s">
        <v>18</v>
      </c>
      <c r="G111" t="s">
        <v>72</v>
      </c>
      <c r="H111" t="s">
        <v>20</v>
      </c>
      <c r="I111" t="s">
        <v>21</v>
      </c>
      <c r="J111" t="s">
        <v>22</v>
      </c>
      <c r="K111" t="s">
        <v>23</v>
      </c>
      <c r="L111">
        <v>5</v>
      </c>
      <c r="M111">
        <v>1</v>
      </c>
      <c r="N111" t="s">
        <v>35</v>
      </c>
      <c r="O111" t="s">
        <v>48</v>
      </c>
      <c r="P111" t="s">
        <v>43</v>
      </c>
      <c r="Q111">
        <v>24687</v>
      </c>
    </row>
    <row r="112" spans="1:17" x14ac:dyDescent="0.35">
      <c r="A112" t="s">
        <v>77</v>
      </c>
      <c r="B112">
        <v>1</v>
      </c>
      <c r="C112" t="s">
        <v>15</v>
      </c>
      <c r="D112" t="s">
        <v>16</v>
      </c>
      <c r="E112" t="s">
        <v>17</v>
      </c>
      <c r="F112" t="s">
        <v>18</v>
      </c>
      <c r="G112" t="s">
        <v>54</v>
      </c>
      <c r="H112" t="s">
        <v>20</v>
      </c>
      <c r="I112" t="s">
        <v>21</v>
      </c>
      <c r="J112" t="s">
        <v>41</v>
      </c>
      <c r="K112" t="s">
        <v>23</v>
      </c>
      <c r="L112">
        <v>5</v>
      </c>
      <c r="M112">
        <v>1</v>
      </c>
      <c r="N112" t="s">
        <v>24</v>
      </c>
      <c r="O112" t="s">
        <v>42</v>
      </c>
      <c r="P112" t="s">
        <v>43</v>
      </c>
      <c r="Q112">
        <v>33839</v>
      </c>
    </row>
    <row r="113" spans="1:19" x14ac:dyDescent="0.35">
      <c r="A113" t="s">
        <v>77</v>
      </c>
      <c r="B113">
        <v>10</v>
      </c>
      <c r="C113" t="s">
        <v>15</v>
      </c>
      <c r="D113" t="s">
        <v>16</v>
      </c>
      <c r="E113" t="s">
        <v>17</v>
      </c>
      <c r="F113" t="s">
        <v>18</v>
      </c>
      <c r="G113" t="s">
        <v>54</v>
      </c>
      <c r="H113" t="s">
        <v>20</v>
      </c>
      <c r="I113" t="s">
        <v>21</v>
      </c>
      <c r="J113" t="s">
        <v>41</v>
      </c>
      <c r="K113" t="s">
        <v>23</v>
      </c>
      <c r="L113">
        <v>5</v>
      </c>
      <c r="M113">
        <v>1</v>
      </c>
      <c r="N113" t="s">
        <v>35</v>
      </c>
      <c r="O113" t="s">
        <v>48</v>
      </c>
      <c r="P113" t="s">
        <v>43</v>
      </c>
      <c r="Q113">
        <v>30724</v>
      </c>
    </row>
    <row r="114" spans="1:19" x14ac:dyDescent="0.35">
      <c r="A114" t="s">
        <v>79</v>
      </c>
      <c r="B114">
        <v>1</v>
      </c>
      <c r="C114" t="s">
        <v>40</v>
      </c>
      <c r="D114" t="s">
        <v>64</v>
      </c>
      <c r="E114" t="s">
        <v>17</v>
      </c>
      <c r="F114" t="s">
        <v>53</v>
      </c>
      <c r="G114" t="s">
        <v>72</v>
      </c>
      <c r="H114" t="s">
        <v>20</v>
      </c>
      <c r="I114" t="s">
        <v>78</v>
      </c>
      <c r="J114" t="s">
        <v>61</v>
      </c>
      <c r="K114" t="s">
        <v>23</v>
      </c>
      <c r="L114">
        <v>5</v>
      </c>
      <c r="M114">
        <v>1</v>
      </c>
      <c r="N114" t="s">
        <v>24</v>
      </c>
      <c r="O114" t="s">
        <v>24</v>
      </c>
      <c r="P114" t="s">
        <v>25</v>
      </c>
      <c r="Q114">
        <v>42297</v>
      </c>
    </row>
    <row r="115" spans="1:19" x14ac:dyDescent="0.35">
      <c r="A115" t="s">
        <v>79</v>
      </c>
      <c r="B115">
        <v>10</v>
      </c>
      <c r="C115" t="s">
        <v>40</v>
      </c>
      <c r="D115" t="s">
        <v>64</v>
      </c>
      <c r="E115" t="s">
        <v>17</v>
      </c>
      <c r="F115" t="s">
        <v>53</v>
      </c>
      <c r="G115" t="s">
        <v>72</v>
      </c>
      <c r="H115" t="s">
        <v>20</v>
      </c>
      <c r="I115" t="s">
        <v>78</v>
      </c>
      <c r="J115" t="s">
        <v>61</v>
      </c>
      <c r="K115" t="s">
        <v>23</v>
      </c>
      <c r="L115">
        <v>5</v>
      </c>
      <c r="M115">
        <v>1</v>
      </c>
      <c r="N115" t="s">
        <v>35</v>
      </c>
      <c r="O115" t="s">
        <v>35</v>
      </c>
      <c r="P115" t="s">
        <v>25</v>
      </c>
      <c r="Q115">
        <v>28509</v>
      </c>
    </row>
    <row r="116" spans="1:19" x14ac:dyDescent="0.35">
      <c r="A116" t="s">
        <v>80</v>
      </c>
      <c r="B116">
        <v>1</v>
      </c>
      <c r="C116" t="s">
        <v>52</v>
      </c>
      <c r="D116" t="s">
        <v>64</v>
      </c>
      <c r="E116" t="s">
        <v>65</v>
      </c>
      <c r="F116" t="s">
        <v>18</v>
      </c>
      <c r="G116" t="s">
        <v>72</v>
      </c>
      <c r="H116" t="s">
        <v>20</v>
      </c>
      <c r="I116" t="s">
        <v>78</v>
      </c>
      <c r="J116" t="s">
        <v>22</v>
      </c>
      <c r="K116" t="s">
        <v>23</v>
      </c>
      <c r="L116">
        <v>5</v>
      </c>
      <c r="M116">
        <v>1</v>
      </c>
      <c r="N116" t="s">
        <v>24</v>
      </c>
      <c r="O116" t="s">
        <v>42</v>
      </c>
      <c r="P116" t="s">
        <v>43</v>
      </c>
      <c r="Q116">
        <v>33139</v>
      </c>
    </row>
    <row r="117" spans="1:19" x14ac:dyDescent="0.35">
      <c r="A117" t="s">
        <v>80</v>
      </c>
      <c r="B117">
        <v>10</v>
      </c>
      <c r="C117" t="s">
        <v>52</v>
      </c>
      <c r="D117" t="s">
        <v>64</v>
      </c>
      <c r="E117" t="s">
        <v>65</v>
      </c>
      <c r="F117" t="s">
        <v>18</v>
      </c>
      <c r="G117" t="s">
        <v>72</v>
      </c>
      <c r="H117" t="s">
        <v>20</v>
      </c>
      <c r="I117" t="s">
        <v>78</v>
      </c>
      <c r="J117" t="s">
        <v>22</v>
      </c>
      <c r="K117" t="s">
        <v>23</v>
      </c>
      <c r="L117">
        <v>5</v>
      </c>
      <c r="M117">
        <v>1</v>
      </c>
      <c r="N117" t="s">
        <v>35</v>
      </c>
      <c r="O117" t="s">
        <v>48</v>
      </c>
      <c r="P117" t="s">
        <v>43</v>
      </c>
      <c r="Q117">
        <v>42089</v>
      </c>
    </row>
    <row r="118" spans="1:19" x14ac:dyDescent="0.35">
      <c r="A118" t="s">
        <v>81</v>
      </c>
      <c r="B118">
        <v>1</v>
      </c>
      <c r="C118" t="s">
        <v>52</v>
      </c>
      <c r="D118" t="s">
        <v>64</v>
      </c>
      <c r="E118" t="s">
        <v>65</v>
      </c>
      <c r="F118" t="s">
        <v>53</v>
      </c>
      <c r="G118" t="s">
        <v>19</v>
      </c>
      <c r="H118" t="s">
        <v>55</v>
      </c>
      <c r="I118" t="s">
        <v>66</v>
      </c>
      <c r="J118" t="s">
        <v>41</v>
      </c>
      <c r="K118" t="s">
        <v>23</v>
      </c>
      <c r="L118">
        <v>5</v>
      </c>
      <c r="M118">
        <v>1</v>
      </c>
      <c r="N118" t="s">
        <v>24</v>
      </c>
      <c r="O118" t="s">
        <v>24</v>
      </c>
      <c r="P118" t="s">
        <v>25</v>
      </c>
      <c r="Q118">
        <v>92378</v>
      </c>
    </row>
    <row r="119" spans="1:19" x14ac:dyDescent="0.35">
      <c r="A119" t="s">
        <v>81</v>
      </c>
      <c r="B119">
        <v>10</v>
      </c>
      <c r="C119" t="s">
        <v>52</v>
      </c>
      <c r="D119" t="s">
        <v>64</v>
      </c>
      <c r="E119" t="s">
        <v>65</v>
      </c>
      <c r="F119" t="s">
        <v>53</v>
      </c>
      <c r="G119" t="s">
        <v>19</v>
      </c>
      <c r="H119" t="s">
        <v>55</v>
      </c>
      <c r="I119" t="s">
        <v>66</v>
      </c>
      <c r="J119" t="s">
        <v>41</v>
      </c>
      <c r="K119" t="s">
        <v>23</v>
      </c>
      <c r="L119">
        <v>5</v>
      </c>
      <c r="M119">
        <v>1</v>
      </c>
      <c r="N119" t="s">
        <v>35</v>
      </c>
      <c r="O119" t="s">
        <v>35</v>
      </c>
      <c r="P119" t="s">
        <v>25</v>
      </c>
      <c r="Q119">
        <v>57002</v>
      </c>
    </row>
    <row r="120" spans="1:19" x14ac:dyDescent="0.35">
      <c r="A120" t="s">
        <v>84</v>
      </c>
      <c r="B120">
        <v>1</v>
      </c>
      <c r="C120" t="s">
        <v>15</v>
      </c>
      <c r="D120" t="s">
        <v>64</v>
      </c>
      <c r="E120" t="s">
        <v>65</v>
      </c>
      <c r="F120" t="s">
        <v>53</v>
      </c>
      <c r="G120" t="s">
        <v>82</v>
      </c>
      <c r="H120" t="s">
        <v>20</v>
      </c>
      <c r="I120" t="s">
        <v>83</v>
      </c>
      <c r="J120" t="s">
        <v>61</v>
      </c>
      <c r="K120" t="s">
        <v>23</v>
      </c>
      <c r="L120">
        <v>5</v>
      </c>
      <c r="M120">
        <v>1</v>
      </c>
      <c r="N120" t="s">
        <v>24</v>
      </c>
      <c r="O120" t="s">
        <v>24</v>
      </c>
      <c r="P120" t="s">
        <v>25</v>
      </c>
      <c r="Q120">
        <v>186302</v>
      </c>
    </row>
    <row r="121" spans="1:19" x14ac:dyDescent="0.35">
      <c r="A121" t="s">
        <v>84</v>
      </c>
      <c r="B121">
        <v>10</v>
      </c>
      <c r="C121" t="s">
        <v>15</v>
      </c>
      <c r="D121" t="s">
        <v>64</v>
      </c>
      <c r="E121" t="s">
        <v>65</v>
      </c>
      <c r="F121" t="s">
        <v>53</v>
      </c>
      <c r="G121" t="s">
        <v>82</v>
      </c>
      <c r="H121" t="s">
        <v>20</v>
      </c>
      <c r="I121" t="s">
        <v>83</v>
      </c>
      <c r="J121" t="s">
        <v>61</v>
      </c>
      <c r="K121" t="s">
        <v>23</v>
      </c>
      <c r="L121">
        <v>5</v>
      </c>
      <c r="M121">
        <v>1</v>
      </c>
      <c r="N121" t="s">
        <v>35</v>
      </c>
      <c r="O121" t="s">
        <v>35</v>
      </c>
      <c r="P121" t="s">
        <v>25</v>
      </c>
      <c r="Q121">
        <v>46750</v>
      </c>
    </row>
    <row r="122" spans="1:19" x14ac:dyDescent="0.35">
      <c r="A122" t="s">
        <v>87</v>
      </c>
      <c r="B122">
        <v>1</v>
      </c>
      <c r="C122" t="s">
        <v>52</v>
      </c>
      <c r="D122" t="s">
        <v>64</v>
      </c>
      <c r="E122" t="s">
        <v>65</v>
      </c>
      <c r="F122" t="s">
        <v>85</v>
      </c>
      <c r="G122" t="s">
        <v>54</v>
      </c>
      <c r="H122" t="s">
        <v>55</v>
      </c>
      <c r="I122" t="s">
        <v>21</v>
      </c>
      <c r="J122" t="s">
        <v>41</v>
      </c>
      <c r="K122" t="s">
        <v>23</v>
      </c>
      <c r="L122">
        <v>5</v>
      </c>
      <c r="M122">
        <v>2</v>
      </c>
      <c r="N122" t="s">
        <v>24</v>
      </c>
      <c r="O122" t="s">
        <v>24</v>
      </c>
      <c r="P122" t="s">
        <v>25</v>
      </c>
      <c r="Q122">
        <v>82440</v>
      </c>
      <c r="R122" t="s">
        <v>75</v>
      </c>
      <c r="S122">
        <v>25644</v>
      </c>
    </row>
    <row r="123" spans="1:19" x14ac:dyDescent="0.35">
      <c r="A123" t="s">
        <v>87</v>
      </c>
      <c r="B123">
        <v>10</v>
      </c>
      <c r="C123" t="s">
        <v>52</v>
      </c>
      <c r="D123" t="s">
        <v>64</v>
      </c>
      <c r="E123" t="s">
        <v>65</v>
      </c>
      <c r="F123" t="s">
        <v>85</v>
      </c>
      <c r="G123" t="s">
        <v>54</v>
      </c>
      <c r="H123" t="s">
        <v>55</v>
      </c>
      <c r="I123" t="s">
        <v>21</v>
      </c>
      <c r="J123" t="s">
        <v>41</v>
      </c>
      <c r="K123" t="s">
        <v>23</v>
      </c>
      <c r="L123">
        <v>5</v>
      </c>
      <c r="M123">
        <v>1</v>
      </c>
      <c r="N123" t="s">
        <v>35</v>
      </c>
      <c r="O123" t="s">
        <v>35</v>
      </c>
      <c r="P123" t="s">
        <v>25</v>
      </c>
      <c r="Q123">
        <v>78369</v>
      </c>
    </row>
    <row r="124" spans="1:19" x14ac:dyDescent="0.35">
      <c r="A124" t="s">
        <v>90</v>
      </c>
      <c r="B124">
        <v>1</v>
      </c>
      <c r="C124" t="s">
        <v>40</v>
      </c>
      <c r="D124" t="s">
        <v>64</v>
      </c>
      <c r="E124" t="s">
        <v>65</v>
      </c>
      <c r="F124" t="s">
        <v>18</v>
      </c>
      <c r="G124" t="s">
        <v>19</v>
      </c>
      <c r="H124" t="s">
        <v>88</v>
      </c>
      <c r="I124" t="s">
        <v>89</v>
      </c>
      <c r="J124" t="s">
        <v>41</v>
      </c>
      <c r="K124" t="s">
        <v>23</v>
      </c>
      <c r="L124">
        <v>5</v>
      </c>
      <c r="M124">
        <v>1</v>
      </c>
      <c r="N124" t="s">
        <v>24</v>
      </c>
      <c r="O124" t="s">
        <v>24</v>
      </c>
      <c r="P124" t="s">
        <v>25</v>
      </c>
      <c r="Q124">
        <v>55514</v>
      </c>
    </row>
    <row r="125" spans="1:19" x14ac:dyDescent="0.35">
      <c r="A125" t="s">
        <v>90</v>
      </c>
      <c r="B125">
        <v>10</v>
      </c>
      <c r="C125" t="s">
        <v>40</v>
      </c>
      <c r="D125" t="s">
        <v>64</v>
      </c>
      <c r="E125" t="s">
        <v>65</v>
      </c>
      <c r="F125" t="s">
        <v>18</v>
      </c>
      <c r="G125" t="s">
        <v>19</v>
      </c>
      <c r="H125" t="s">
        <v>88</v>
      </c>
      <c r="I125" t="s">
        <v>89</v>
      </c>
      <c r="J125" t="s">
        <v>41</v>
      </c>
      <c r="K125" t="s">
        <v>23</v>
      </c>
      <c r="L125">
        <v>5</v>
      </c>
      <c r="M125">
        <v>1</v>
      </c>
      <c r="N125" t="s">
        <v>35</v>
      </c>
      <c r="O125" t="s">
        <v>35</v>
      </c>
      <c r="P125" t="s">
        <v>25</v>
      </c>
      <c r="Q125">
        <v>42006</v>
      </c>
    </row>
    <row r="126" spans="1:19" x14ac:dyDescent="0.35">
      <c r="A126" t="s">
        <v>91</v>
      </c>
      <c r="B126">
        <v>1</v>
      </c>
      <c r="C126" t="s">
        <v>15</v>
      </c>
      <c r="D126" t="s">
        <v>64</v>
      </c>
      <c r="E126" t="s">
        <v>65</v>
      </c>
      <c r="F126" t="s">
        <v>18</v>
      </c>
      <c r="G126" t="s">
        <v>68</v>
      </c>
      <c r="H126" t="s">
        <v>20</v>
      </c>
      <c r="I126" t="s">
        <v>66</v>
      </c>
      <c r="J126" t="s">
        <v>41</v>
      </c>
      <c r="K126" t="s">
        <v>23</v>
      </c>
      <c r="L126">
        <v>5</v>
      </c>
      <c r="M126">
        <v>1</v>
      </c>
      <c r="N126" t="s">
        <v>24</v>
      </c>
      <c r="O126" t="s">
        <v>24</v>
      </c>
      <c r="P126" t="s">
        <v>25</v>
      </c>
      <c r="Q126">
        <v>63276</v>
      </c>
    </row>
    <row r="127" spans="1:19" x14ac:dyDescent="0.35">
      <c r="A127" t="s">
        <v>91</v>
      </c>
      <c r="B127">
        <v>10</v>
      </c>
      <c r="C127" t="s">
        <v>15</v>
      </c>
      <c r="D127" t="s">
        <v>64</v>
      </c>
      <c r="E127" t="s">
        <v>65</v>
      </c>
      <c r="F127" t="s">
        <v>18</v>
      </c>
      <c r="G127" t="s">
        <v>68</v>
      </c>
      <c r="H127" t="s">
        <v>20</v>
      </c>
      <c r="I127" t="s">
        <v>66</v>
      </c>
      <c r="J127" t="s">
        <v>41</v>
      </c>
      <c r="K127" t="s">
        <v>23</v>
      </c>
      <c r="L127">
        <v>5</v>
      </c>
      <c r="M127">
        <v>1</v>
      </c>
      <c r="N127" t="s">
        <v>35</v>
      </c>
      <c r="O127" t="s">
        <v>35</v>
      </c>
      <c r="P127" t="s">
        <v>25</v>
      </c>
      <c r="Q127">
        <v>79112</v>
      </c>
    </row>
    <row r="128" spans="1:19" x14ac:dyDescent="0.35">
      <c r="A128" t="s">
        <v>92</v>
      </c>
      <c r="B128">
        <v>1</v>
      </c>
      <c r="C128" t="s">
        <v>40</v>
      </c>
      <c r="D128" t="s">
        <v>64</v>
      </c>
      <c r="E128" t="s">
        <v>65</v>
      </c>
      <c r="F128" t="s">
        <v>18</v>
      </c>
      <c r="G128" t="s">
        <v>54</v>
      </c>
      <c r="H128" t="s">
        <v>55</v>
      </c>
      <c r="I128" t="s">
        <v>78</v>
      </c>
      <c r="J128" t="s">
        <v>41</v>
      </c>
      <c r="K128" t="s">
        <v>23</v>
      </c>
      <c r="L128">
        <v>5</v>
      </c>
      <c r="M128">
        <v>1</v>
      </c>
      <c r="N128" t="s">
        <v>24</v>
      </c>
      <c r="O128" t="s">
        <v>24</v>
      </c>
      <c r="P128" t="s">
        <v>25</v>
      </c>
      <c r="Q128">
        <v>30309</v>
      </c>
    </row>
    <row r="129" spans="1:17" x14ac:dyDescent="0.35">
      <c r="A129" t="s">
        <v>92</v>
      </c>
      <c r="B129">
        <v>10</v>
      </c>
      <c r="C129" t="s">
        <v>40</v>
      </c>
      <c r="D129" t="s">
        <v>64</v>
      </c>
      <c r="E129" t="s">
        <v>65</v>
      </c>
      <c r="F129" t="s">
        <v>18</v>
      </c>
      <c r="G129" t="s">
        <v>54</v>
      </c>
      <c r="H129" t="s">
        <v>55</v>
      </c>
      <c r="I129" t="s">
        <v>78</v>
      </c>
      <c r="J129" t="s">
        <v>41</v>
      </c>
      <c r="K129" t="s">
        <v>23</v>
      </c>
      <c r="L129">
        <v>5</v>
      </c>
      <c r="M129">
        <v>1</v>
      </c>
      <c r="N129" t="s">
        <v>35</v>
      </c>
      <c r="O129" t="s">
        <v>35</v>
      </c>
      <c r="P129" t="s">
        <v>25</v>
      </c>
      <c r="Q129">
        <v>27311</v>
      </c>
    </row>
    <row r="130" spans="1:17" x14ac:dyDescent="0.35">
      <c r="A130" t="s">
        <v>94</v>
      </c>
      <c r="B130">
        <v>1</v>
      </c>
      <c r="C130" t="s">
        <v>40</v>
      </c>
      <c r="D130" t="s">
        <v>16</v>
      </c>
      <c r="E130" t="s">
        <v>17</v>
      </c>
      <c r="F130" t="s">
        <v>53</v>
      </c>
      <c r="G130" t="s">
        <v>54</v>
      </c>
      <c r="H130" t="s">
        <v>20</v>
      </c>
      <c r="I130" t="s">
        <v>21</v>
      </c>
      <c r="J130" t="s">
        <v>41</v>
      </c>
      <c r="K130" t="s">
        <v>23</v>
      </c>
      <c r="L130">
        <v>5</v>
      </c>
      <c r="M130">
        <v>2</v>
      </c>
      <c r="N130" t="s">
        <v>24</v>
      </c>
      <c r="O130" t="s">
        <v>24</v>
      </c>
      <c r="P130" t="s">
        <v>25</v>
      </c>
      <c r="Q130">
        <v>89392</v>
      </c>
    </row>
    <row r="131" spans="1:17" x14ac:dyDescent="0.35">
      <c r="A131" t="s">
        <v>94</v>
      </c>
      <c r="B131">
        <v>10</v>
      </c>
      <c r="C131" t="s">
        <v>40</v>
      </c>
      <c r="D131" t="s">
        <v>16</v>
      </c>
      <c r="E131" t="s">
        <v>17</v>
      </c>
      <c r="F131" t="s">
        <v>53</v>
      </c>
      <c r="G131" t="s">
        <v>54</v>
      </c>
      <c r="H131" t="s">
        <v>20</v>
      </c>
      <c r="I131" t="s">
        <v>21</v>
      </c>
      <c r="J131" t="s">
        <v>41</v>
      </c>
      <c r="K131" t="s">
        <v>23</v>
      </c>
      <c r="L131">
        <v>5</v>
      </c>
      <c r="M131">
        <v>1</v>
      </c>
      <c r="N131" t="s">
        <v>35</v>
      </c>
      <c r="O131" t="s">
        <v>35</v>
      </c>
      <c r="P131" t="s">
        <v>25</v>
      </c>
      <c r="Q131">
        <v>43776</v>
      </c>
    </row>
    <row r="132" spans="1:17" x14ac:dyDescent="0.35">
      <c r="A132" t="s">
        <v>101</v>
      </c>
      <c r="B132">
        <v>1</v>
      </c>
      <c r="C132" t="s">
        <v>15</v>
      </c>
      <c r="D132" t="s">
        <v>64</v>
      </c>
      <c r="E132" t="s">
        <v>65</v>
      </c>
      <c r="F132" t="s">
        <v>53</v>
      </c>
      <c r="G132" t="s">
        <v>82</v>
      </c>
      <c r="H132" t="s">
        <v>55</v>
      </c>
      <c r="I132" t="s">
        <v>83</v>
      </c>
      <c r="J132" t="s">
        <v>22</v>
      </c>
      <c r="K132" t="s">
        <v>23</v>
      </c>
      <c r="L132">
        <v>5</v>
      </c>
      <c r="M132">
        <v>1</v>
      </c>
      <c r="N132" t="s">
        <v>24</v>
      </c>
      <c r="O132" t="s">
        <v>24</v>
      </c>
      <c r="P132" t="s">
        <v>25</v>
      </c>
      <c r="Q132">
        <v>51135</v>
      </c>
    </row>
    <row r="133" spans="1:17" x14ac:dyDescent="0.35">
      <c r="A133" t="s">
        <v>101</v>
      </c>
      <c r="B133">
        <v>10</v>
      </c>
      <c r="C133" t="s">
        <v>15</v>
      </c>
      <c r="D133" t="s">
        <v>64</v>
      </c>
      <c r="E133" t="s">
        <v>65</v>
      </c>
      <c r="F133" t="s">
        <v>53</v>
      </c>
      <c r="G133" t="s">
        <v>82</v>
      </c>
      <c r="H133" t="s">
        <v>55</v>
      </c>
      <c r="I133" t="s">
        <v>83</v>
      </c>
      <c r="J133" t="s">
        <v>22</v>
      </c>
      <c r="K133" t="s">
        <v>23</v>
      </c>
      <c r="L133">
        <v>5</v>
      </c>
      <c r="M133">
        <v>1</v>
      </c>
      <c r="N133" t="s">
        <v>35</v>
      </c>
      <c r="O133" t="s">
        <v>35</v>
      </c>
      <c r="P133" t="s">
        <v>25</v>
      </c>
      <c r="Q133">
        <v>34801</v>
      </c>
    </row>
    <row r="134" spans="1:17" x14ac:dyDescent="0.35">
      <c r="A134" t="s">
        <v>39</v>
      </c>
      <c r="B134">
        <v>7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26</v>
      </c>
      <c r="L134">
        <v>1</v>
      </c>
      <c r="M134">
        <v>1</v>
      </c>
      <c r="N134" t="s">
        <v>32</v>
      </c>
      <c r="O134" t="s">
        <v>32</v>
      </c>
      <c r="P134" t="s">
        <v>25</v>
      </c>
      <c r="Q134">
        <v>6107</v>
      </c>
    </row>
    <row r="135" spans="1:17" x14ac:dyDescent="0.35">
      <c r="A135" t="s">
        <v>39</v>
      </c>
      <c r="B135">
        <v>8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26</v>
      </c>
      <c r="L135">
        <v>1</v>
      </c>
      <c r="M135">
        <v>1</v>
      </c>
      <c r="N135" t="s">
        <v>33</v>
      </c>
      <c r="O135" t="s">
        <v>33</v>
      </c>
      <c r="P135" t="s">
        <v>25</v>
      </c>
      <c r="Q135">
        <v>6338</v>
      </c>
    </row>
    <row r="136" spans="1:17" x14ac:dyDescent="0.35">
      <c r="A136" t="s">
        <v>51</v>
      </c>
      <c r="B136">
        <v>7</v>
      </c>
      <c r="C136" t="s">
        <v>40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41</v>
      </c>
      <c r="K136" t="s">
        <v>26</v>
      </c>
      <c r="L136">
        <v>1</v>
      </c>
      <c r="M136">
        <v>1</v>
      </c>
      <c r="N136" t="s">
        <v>32</v>
      </c>
      <c r="O136" t="s">
        <v>32</v>
      </c>
      <c r="P136" t="s">
        <v>25</v>
      </c>
      <c r="Q136">
        <v>3502</v>
      </c>
    </row>
    <row r="137" spans="1:17" x14ac:dyDescent="0.35">
      <c r="A137" t="s">
        <v>51</v>
      </c>
      <c r="B137">
        <v>8</v>
      </c>
      <c r="C137" t="s">
        <v>40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41</v>
      </c>
      <c r="K137" t="s">
        <v>26</v>
      </c>
      <c r="L137">
        <v>1</v>
      </c>
      <c r="M137">
        <v>1</v>
      </c>
      <c r="N137" t="s">
        <v>33</v>
      </c>
      <c r="O137" t="s">
        <v>33</v>
      </c>
      <c r="P137" t="s">
        <v>25</v>
      </c>
      <c r="Q137">
        <v>2786</v>
      </c>
    </row>
    <row r="138" spans="1:17" x14ac:dyDescent="0.35">
      <c r="A138" t="s">
        <v>58</v>
      </c>
      <c r="B138">
        <v>7</v>
      </c>
      <c r="C138" t="s">
        <v>52</v>
      </c>
      <c r="D138" t="s">
        <v>16</v>
      </c>
      <c r="E138" t="s">
        <v>17</v>
      </c>
      <c r="F138" t="s">
        <v>53</v>
      </c>
      <c r="G138" t="s">
        <v>54</v>
      </c>
      <c r="H138" t="s">
        <v>55</v>
      </c>
      <c r="I138" t="s">
        <v>56</v>
      </c>
      <c r="J138" t="s">
        <v>22</v>
      </c>
      <c r="K138" t="s">
        <v>26</v>
      </c>
      <c r="L138">
        <v>1</v>
      </c>
      <c r="M138">
        <v>1</v>
      </c>
      <c r="N138" t="s">
        <v>32</v>
      </c>
      <c r="O138" t="s">
        <v>32</v>
      </c>
      <c r="P138" t="s">
        <v>25</v>
      </c>
      <c r="Q138">
        <v>6931</v>
      </c>
    </row>
    <row r="139" spans="1:17" x14ac:dyDescent="0.35">
      <c r="A139" t="s">
        <v>58</v>
      </c>
      <c r="B139">
        <v>8</v>
      </c>
      <c r="C139" t="s">
        <v>52</v>
      </c>
      <c r="D139" t="s">
        <v>16</v>
      </c>
      <c r="E139" t="s">
        <v>17</v>
      </c>
      <c r="F139" t="s">
        <v>53</v>
      </c>
      <c r="G139" t="s">
        <v>54</v>
      </c>
      <c r="H139" t="s">
        <v>55</v>
      </c>
      <c r="I139" t="s">
        <v>56</v>
      </c>
      <c r="J139" t="s">
        <v>22</v>
      </c>
      <c r="K139" t="s">
        <v>26</v>
      </c>
      <c r="L139">
        <v>1</v>
      </c>
      <c r="M139">
        <v>1</v>
      </c>
      <c r="N139" t="s">
        <v>33</v>
      </c>
      <c r="O139" t="s">
        <v>33</v>
      </c>
      <c r="P139" t="s">
        <v>25</v>
      </c>
      <c r="Q139">
        <v>7118</v>
      </c>
    </row>
    <row r="140" spans="1:17" x14ac:dyDescent="0.35">
      <c r="A140" t="s">
        <v>60</v>
      </c>
      <c r="B140">
        <v>7</v>
      </c>
      <c r="C140" t="s">
        <v>59</v>
      </c>
      <c r="D140" t="s">
        <v>16</v>
      </c>
      <c r="E140" t="s">
        <v>17</v>
      </c>
      <c r="F140" t="s">
        <v>18</v>
      </c>
      <c r="G140" t="s">
        <v>54</v>
      </c>
      <c r="H140" t="s">
        <v>55</v>
      </c>
      <c r="I140" t="s">
        <v>21</v>
      </c>
      <c r="J140" t="s">
        <v>22</v>
      </c>
      <c r="K140" t="s">
        <v>26</v>
      </c>
      <c r="L140">
        <v>1</v>
      </c>
      <c r="M140">
        <v>1</v>
      </c>
      <c r="N140" t="s">
        <v>32</v>
      </c>
      <c r="O140" t="s">
        <v>32</v>
      </c>
      <c r="P140" t="s">
        <v>25</v>
      </c>
      <c r="Q140">
        <v>7259</v>
      </c>
    </row>
    <row r="141" spans="1:17" x14ac:dyDescent="0.35">
      <c r="A141" t="s">
        <v>60</v>
      </c>
      <c r="B141">
        <v>8</v>
      </c>
      <c r="C141" t="s">
        <v>59</v>
      </c>
      <c r="D141" t="s">
        <v>16</v>
      </c>
      <c r="E141" t="s">
        <v>17</v>
      </c>
      <c r="F141" t="s">
        <v>18</v>
      </c>
      <c r="G141" t="s">
        <v>54</v>
      </c>
      <c r="H141" t="s">
        <v>55</v>
      </c>
      <c r="I141" t="s">
        <v>21</v>
      </c>
      <c r="J141" t="s">
        <v>22</v>
      </c>
      <c r="K141" t="s">
        <v>26</v>
      </c>
      <c r="L141">
        <v>1</v>
      </c>
      <c r="M141">
        <v>1</v>
      </c>
      <c r="N141" t="s">
        <v>33</v>
      </c>
      <c r="O141" t="s">
        <v>33</v>
      </c>
      <c r="P141" t="s">
        <v>25</v>
      </c>
      <c r="Q141">
        <v>9624</v>
      </c>
    </row>
    <row r="142" spans="1:17" x14ac:dyDescent="0.35">
      <c r="A142" t="s">
        <v>62</v>
      </c>
      <c r="B142">
        <v>7</v>
      </c>
      <c r="C142" t="s">
        <v>15</v>
      </c>
      <c r="D142" t="s">
        <v>16</v>
      </c>
      <c r="E142" t="s">
        <v>17</v>
      </c>
      <c r="F142" t="s">
        <v>53</v>
      </c>
      <c r="G142" t="s">
        <v>72</v>
      </c>
      <c r="H142" t="s">
        <v>20</v>
      </c>
      <c r="I142" t="s">
        <v>21</v>
      </c>
      <c r="J142" t="s">
        <v>41</v>
      </c>
      <c r="K142" t="s">
        <v>26</v>
      </c>
      <c r="L142">
        <v>1</v>
      </c>
      <c r="M142">
        <v>1</v>
      </c>
      <c r="N142" t="s">
        <v>32</v>
      </c>
      <c r="O142" t="s">
        <v>32</v>
      </c>
      <c r="P142" t="s">
        <v>25</v>
      </c>
      <c r="Q142">
        <v>7466</v>
      </c>
    </row>
    <row r="143" spans="1:17" x14ac:dyDescent="0.35">
      <c r="A143" t="s">
        <v>62</v>
      </c>
      <c r="B143">
        <v>8</v>
      </c>
      <c r="C143" t="s">
        <v>15</v>
      </c>
      <c r="D143" t="s">
        <v>16</v>
      </c>
      <c r="E143" t="s">
        <v>17</v>
      </c>
      <c r="F143" t="s">
        <v>53</v>
      </c>
      <c r="G143" t="s">
        <v>72</v>
      </c>
      <c r="H143" t="s">
        <v>20</v>
      </c>
      <c r="I143" t="s">
        <v>21</v>
      </c>
      <c r="J143" t="s">
        <v>41</v>
      </c>
      <c r="K143" t="s">
        <v>26</v>
      </c>
      <c r="L143">
        <v>1</v>
      </c>
      <c r="M143">
        <v>1</v>
      </c>
      <c r="N143" t="s">
        <v>33</v>
      </c>
      <c r="O143" t="s">
        <v>33</v>
      </c>
      <c r="P143" t="s">
        <v>25</v>
      </c>
      <c r="Q143">
        <v>7812</v>
      </c>
    </row>
    <row r="144" spans="1:17" x14ac:dyDescent="0.35">
      <c r="A144" t="s">
        <v>63</v>
      </c>
      <c r="B144">
        <v>7</v>
      </c>
      <c r="C144" t="s">
        <v>52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56</v>
      </c>
      <c r="J144" t="s">
        <v>61</v>
      </c>
      <c r="K144" t="s">
        <v>26</v>
      </c>
      <c r="L144">
        <v>1</v>
      </c>
      <c r="M144">
        <v>1</v>
      </c>
      <c r="N144" t="s">
        <v>32</v>
      </c>
      <c r="O144" t="s">
        <v>32</v>
      </c>
      <c r="P144" t="s">
        <v>25</v>
      </c>
      <c r="Q144">
        <v>7545</v>
      </c>
    </row>
    <row r="145" spans="1:17" x14ac:dyDescent="0.35">
      <c r="A145" t="s">
        <v>63</v>
      </c>
      <c r="B145">
        <v>8</v>
      </c>
      <c r="C145" t="s">
        <v>52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56</v>
      </c>
      <c r="J145" t="s">
        <v>61</v>
      </c>
      <c r="K145" t="s">
        <v>26</v>
      </c>
      <c r="L145">
        <v>1</v>
      </c>
      <c r="M145">
        <v>1</v>
      </c>
      <c r="N145" t="s">
        <v>33</v>
      </c>
      <c r="O145" t="s">
        <v>33</v>
      </c>
      <c r="P145" t="s">
        <v>25</v>
      </c>
      <c r="Q145">
        <v>3907</v>
      </c>
    </row>
    <row r="146" spans="1:17" x14ac:dyDescent="0.35">
      <c r="A146" t="s">
        <v>71</v>
      </c>
      <c r="B146">
        <v>7</v>
      </c>
      <c r="C146" t="s">
        <v>15</v>
      </c>
      <c r="D146" t="s">
        <v>16</v>
      </c>
      <c r="E146" t="s">
        <v>17</v>
      </c>
      <c r="F146" t="s">
        <v>53</v>
      </c>
      <c r="G146" t="s">
        <v>54</v>
      </c>
      <c r="H146" t="s">
        <v>20</v>
      </c>
      <c r="I146" t="s">
        <v>21</v>
      </c>
      <c r="J146" t="s">
        <v>41</v>
      </c>
      <c r="K146" t="s">
        <v>26</v>
      </c>
      <c r="L146">
        <v>1</v>
      </c>
      <c r="M146">
        <v>1</v>
      </c>
      <c r="N146" t="s">
        <v>32</v>
      </c>
      <c r="O146" t="s">
        <v>32</v>
      </c>
      <c r="P146" t="s">
        <v>25</v>
      </c>
      <c r="Q146">
        <v>4372</v>
      </c>
    </row>
    <row r="147" spans="1:17" x14ac:dyDescent="0.35">
      <c r="A147" t="s">
        <v>71</v>
      </c>
      <c r="B147">
        <v>8</v>
      </c>
      <c r="C147" t="s">
        <v>15</v>
      </c>
      <c r="D147" t="s">
        <v>16</v>
      </c>
      <c r="E147" t="s">
        <v>17</v>
      </c>
      <c r="F147" t="s">
        <v>53</v>
      </c>
      <c r="G147" t="s">
        <v>54</v>
      </c>
      <c r="H147" t="s">
        <v>20</v>
      </c>
      <c r="I147" t="s">
        <v>21</v>
      </c>
      <c r="J147" t="s">
        <v>41</v>
      </c>
      <c r="K147" t="s">
        <v>26</v>
      </c>
      <c r="L147">
        <v>1</v>
      </c>
      <c r="M147">
        <v>1</v>
      </c>
      <c r="N147" t="s">
        <v>33</v>
      </c>
      <c r="O147" t="s">
        <v>33</v>
      </c>
      <c r="P147" t="s">
        <v>25</v>
      </c>
      <c r="Q147">
        <v>4226</v>
      </c>
    </row>
    <row r="148" spans="1:17" x14ac:dyDescent="0.35">
      <c r="A148" t="s">
        <v>69</v>
      </c>
      <c r="B148">
        <v>7</v>
      </c>
      <c r="C148" t="s">
        <v>40</v>
      </c>
      <c r="D148" t="s">
        <v>64</v>
      </c>
      <c r="E148" t="s">
        <v>65</v>
      </c>
      <c r="F148" t="s">
        <v>53</v>
      </c>
      <c r="G148" t="s">
        <v>54</v>
      </c>
      <c r="H148" t="s">
        <v>20</v>
      </c>
      <c r="I148" t="s">
        <v>66</v>
      </c>
      <c r="J148" t="s">
        <v>41</v>
      </c>
      <c r="K148" t="s">
        <v>26</v>
      </c>
      <c r="L148">
        <v>1</v>
      </c>
      <c r="M148">
        <v>1</v>
      </c>
      <c r="N148" t="s">
        <v>32</v>
      </c>
      <c r="O148" t="s">
        <v>32</v>
      </c>
      <c r="P148" t="s">
        <v>25</v>
      </c>
      <c r="Q148">
        <v>8416</v>
      </c>
    </row>
    <row r="149" spans="1:17" x14ac:dyDescent="0.35">
      <c r="A149" t="s">
        <v>69</v>
      </c>
      <c r="B149">
        <v>8</v>
      </c>
      <c r="C149" t="s">
        <v>40</v>
      </c>
      <c r="D149" t="s">
        <v>64</v>
      </c>
      <c r="E149" t="s">
        <v>65</v>
      </c>
      <c r="F149" t="s">
        <v>53</v>
      </c>
      <c r="G149" t="s">
        <v>54</v>
      </c>
      <c r="H149" t="s">
        <v>20</v>
      </c>
      <c r="I149" t="s">
        <v>66</v>
      </c>
      <c r="J149" t="s">
        <v>41</v>
      </c>
      <c r="K149" t="s">
        <v>26</v>
      </c>
      <c r="L149">
        <v>1</v>
      </c>
      <c r="M149">
        <v>1</v>
      </c>
      <c r="N149" t="s">
        <v>33</v>
      </c>
      <c r="O149" t="s">
        <v>33</v>
      </c>
      <c r="P149" t="s">
        <v>25</v>
      </c>
      <c r="Q149">
        <v>6631</v>
      </c>
    </row>
    <row r="150" spans="1:17" x14ac:dyDescent="0.35">
      <c r="A150" t="s">
        <v>70</v>
      </c>
      <c r="B150">
        <v>7</v>
      </c>
      <c r="C150" t="s">
        <v>52</v>
      </c>
      <c r="D150" t="s">
        <v>64</v>
      </c>
      <c r="E150" t="s">
        <v>65</v>
      </c>
      <c r="F150" t="s">
        <v>53</v>
      </c>
      <c r="G150" t="s">
        <v>68</v>
      </c>
      <c r="H150" t="s">
        <v>20</v>
      </c>
      <c r="I150" t="s">
        <v>21</v>
      </c>
      <c r="J150" t="s">
        <v>41</v>
      </c>
      <c r="K150" t="s">
        <v>26</v>
      </c>
      <c r="L150">
        <v>1</v>
      </c>
      <c r="M150">
        <v>1</v>
      </c>
      <c r="N150" t="s">
        <v>32</v>
      </c>
      <c r="O150" t="s">
        <v>32</v>
      </c>
      <c r="P150" t="s">
        <v>25</v>
      </c>
      <c r="Q150">
        <v>7740</v>
      </c>
    </row>
    <row r="151" spans="1:17" x14ac:dyDescent="0.35">
      <c r="A151" t="s">
        <v>70</v>
      </c>
      <c r="B151">
        <v>8</v>
      </c>
      <c r="C151" t="s">
        <v>52</v>
      </c>
      <c r="D151" t="s">
        <v>64</v>
      </c>
      <c r="E151" t="s">
        <v>65</v>
      </c>
      <c r="F151" t="s">
        <v>53</v>
      </c>
      <c r="G151" t="s">
        <v>68</v>
      </c>
      <c r="H151" t="s">
        <v>20</v>
      </c>
      <c r="I151" t="s">
        <v>21</v>
      </c>
      <c r="J151" t="s">
        <v>41</v>
      </c>
      <c r="K151" t="s">
        <v>26</v>
      </c>
      <c r="L151">
        <v>1</v>
      </c>
      <c r="M151">
        <v>1</v>
      </c>
      <c r="N151" t="s">
        <v>33</v>
      </c>
      <c r="O151" t="s">
        <v>33</v>
      </c>
      <c r="P151" t="s">
        <v>25</v>
      </c>
      <c r="Q151">
        <v>8888</v>
      </c>
    </row>
    <row r="152" spans="1:17" x14ac:dyDescent="0.35">
      <c r="A152" t="s">
        <v>74</v>
      </c>
      <c r="B152">
        <v>7</v>
      </c>
      <c r="C152" t="s">
        <v>15</v>
      </c>
      <c r="D152" t="s">
        <v>16</v>
      </c>
      <c r="E152" t="s">
        <v>17</v>
      </c>
      <c r="F152" t="s">
        <v>18</v>
      </c>
      <c r="G152" t="s">
        <v>54</v>
      </c>
      <c r="H152" t="s">
        <v>20</v>
      </c>
      <c r="I152" t="s">
        <v>21</v>
      </c>
      <c r="J152" t="s">
        <v>41</v>
      </c>
      <c r="K152" t="s">
        <v>26</v>
      </c>
      <c r="L152">
        <v>1</v>
      </c>
      <c r="M152">
        <v>1</v>
      </c>
      <c r="N152" t="s">
        <v>32</v>
      </c>
      <c r="O152" t="s">
        <v>32</v>
      </c>
      <c r="P152" t="s">
        <v>25</v>
      </c>
      <c r="Q152">
        <v>5088</v>
      </c>
    </row>
    <row r="153" spans="1:17" x14ac:dyDescent="0.35">
      <c r="A153" t="s">
        <v>74</v>
      </c>
      <c r="B153">
        <v>8</v>
      </c>
      <c r="C153" t="s">
        <v>15</v>
      </c>
      <c r="D153" t="s">
        <v>16</v>
      </c>
      <c r="E153" t="s">
        <v>17</v>
      </c>
      <c r="F153" t="s">
        <v>18</v>
      </c>
      <c r="G153" t="s">
        <v>54</v>
      </c>
      <c r="H153" t="s">
        <v>20</v>
      </c>
      <c r="I153" t="s">
        <v>21</v>
      </c>
      <c r="J153" t="s">
        <v>41</v>
      </c>
      <c r="K153" t="s">
        <v>26</v>
      </c>
      <c r="L153">
        <v>1</v>
      </c>
      <c r="M153">
        <v>1</v>
      </c>
      <c r="N153" t="s">
        <v>33</v>
      </c>
      <c r="O153" t="s">
        <v>33</v>
      </c>
      <c r="P153" t="s">
        <v>25</v>
      </c>
      <c r="Q153">
        <v>7943</v>
      </c>
    </row>
    <row r="154" spans="1:17" x14ac:dyDescent="0.35">
      <c r="A154" t="s">
        <v>76</v>
      </c>
      <c r="B154">
        <v>7</v>
      </c>
      <c r="C154" t="s">
        <v>15</v>
      </c>
      <c r="D154" t="s">
        <v>16</v>
      </c>
      <c r="E154" t="s">
        <v>17</v>
      </c>
      <c r="F154" t="s">
        <v>18</v>
      </c>
      <c r="G154" t="s">
        <v>72</v>
      </c>
      <c r="H154" t="s">
        <v>20</v>
      </c>
      <c r="I154" t="s">
        <v>21</v>
      </c>
      <c r="J154" t="s">
        <v>22</v>
      </c>
      <c r="K154" t="s">
        <v>26</v>
      </c>
      <c r="L154">
        <v>1</v>
      </c>
      <c r="M154">
        <v>1</v>
      </c>
      <c r="N154" t="s">
        <v>32</v>
      </c>
      <c r="O154" t="s">
        <v>32</v>
      </c>
      <c r="P154" t="s">
        <v>25</v>
      </c>
      <c r="Q154">
        <v>5073</v>
      </c>
    </row>
    <row r="155" spans="1:17" x14ac:dyDescent="0.35">
      <c r="A155" t="s">
        <v>76</v>
      </c>
      <c r="B155">
        <v>8</v>
      </c>
      <c r="C155" t="s">
        <v>15</v>
      </c>
      <c r="D155" t="s">
        <v>16</v>
      </c>
      <c r="E155" t="s">
        <v>17</v>
      </c>
      <c r="F155" t="s">
        <v>18</v>
      </c>
      <c r="G155" t="s">
        <v>72</v>
      </c>
      <c r="H155" t="s">
        <v>20</v>
      </c>
      <c r="I155" t="s">
        <v>21</v>
      </c>
      <c r="J155" t="s">
        <v>22</v>
      </c>
      <c r="K155" t="s">
        <v>26</v>
      </c>
      <c r="L155">
        <v>1</v>
      </c>
      <c r="M155">
        <v>1</v>
      </c>
      <c r="N155" t="s">
        <v>33</v>
      </c>
      <c r="O155" t="s">
        <v>33</v>
      </c>
      <c r="P155" t="s">
        <v>25</v>
      </c>
      <c r="Q155">
        <v>4084</v>
      </c>
    </row>
    <row r="156" spans="1:17" x14ac:dyDescent="0.35">
      <c r="A156" t="s">
        <v>77</v>
      </c>
      <c r="B156">
        <v>7</v>
      </c>
      <c r="C156" t="s">
        <v>15</v>
      </c>
      <c r="D156" t="s">
        <v>16</v>
      </c>
      <c r="E156" t="s">
        <v>17</v>
      </c>
      <c r="F156" t="s">
        <v>18</v>
      </c>
      <c r="G156" t="s">
        <v>54</v>
      </c>
      <c r="H156" t="s">
        <v>20</v>
      </c>
      <c r="I156" t="s">
        <v>21</v>
      </c>
      <c r="J156" t="s">
        <v>41</v>
      </c>
      <c r="K156" t="s">
        <v>26</v>
      </c>
      <c r="L156">
        <v>1</v>
      </c>
      <c r="M156">
        <v>1</v>
      </c>
      <c r="N156" t="s">
        <v>32</v>
      </c>
      <c r="O156" t="s">
        <v>32</v>
      </c>
      <c r="P156" t="s">
        <v>25</v>
      </c>
      <c r="Q156">
        <v>3897</v>
      </c>
    </row>
    <row r="157" spans="1:17" x14ac:dyDescent="0.35">
      <c r="A157" t="s">
        <v>77</v>
      </c>
      <c r="B157">
        <v>8</v>
      </c>
      <c r="C157" t="s">
        <v>15</v>
      </c>
      <c r="D157" t="s">
        <v>16</v>
      </c>
      <c r="E157" t="s">
        <v>17</v>
      </c>
      <c r="F157" t="s">
        <v>18</v>
      </c>
      <c r="G157" t="s">
        <v>54</v>
      </c>
      <c r="H157" t="s">
        <v>20</v>
      </c>
      <c r="I157" t="s">
        <v>21</v>
      </c>
      <c r="J157" t="s">
        <v>41</v>
      </c>
      <c r="K157" t="s">
        <v>26</v>
      </c>
      <c r="L157">
        <v>1</v>
      </c>
      <c r="M157">
        <v>1</v>
      </c>
      <c r="N157" t="s">
        <v>33</v>
      </c>
      <c r="O157" t="s">
        <v>33</v>
      </c>
      <c r="P157" t="s">
        <v>25</v>
      </c>
      <c r="Q157">
        <v>3648</v>
      </c>
    </row>
    <row r="158" spans="1:17" x14ac:dyDescent="0.35">
      <c r="A158" t="s">
        <v>79</v>
      </c>
      <c r="B158">
        <v>7</v>
      </c>
      <c r="C158" t="s">
        <v>40</v>
      </c>
      <c r="D158" t="s">
        <v>64</v>
      </c>
      <c r="E158" t="s">
        <v>17</v>
      </c>
      <c r="F158" t="s">
        <v>53</v>
      </c>
      <c r="G158" t="s">
        <v>72</v>
      </c>
      <c r="H158" t="s">
        <v>20</v>
      </c>
      <c r="I158" t="s">
        <v>78</v>
      </c>
      <c r="J158" t="s">
        <v>61</v>
      </c>
      <c r="K158" t="s">
        <v>26</v>
      </c>
      <c r="L158">
        <v>1</v>
      </c>
      <c r="M158">
        <v>1</v>
      </c>
      <c r="N158" t="s">
        <v>32</v>
      </c>
      <c r="O158" t="s">
        <v>32</v>
      </c>
      <c r="P158" t="s">
        <v>25</v>
      </c>
      <c r="Q158">
        <v>4677</v>
      </c>
    </row>
    <row r="159" spans="1:17" x14ac:dyDescent="0.35">
      <c r="A159" t="s">
        <v>79</v>
      </c>
      <c r="B159">
        <v>8</v>
      </c>
      <c r="C159" t="s">
        <v>40</v>
      </c>
      <c r="D159" t="s">
        <v>64</v>
      </c>
      <c r="E159" t="s">
        <v>17</v>
      </c>
      <c r="F159" t="s">
        <v>53</v>
      </c>
      <c r="G159" t="s">
        <v>72</v>
      </c>
      <c r="H159" t="s">
        <v>20</v>
      </c>
      <c r="I159" t="s">
        <v>78</v>
      </c>
      <c r="J159" t="s">
        <v>61</v>
      </c>
      <c r="K159" t="s">
        <v>26</v>
      </c>
      <c r="L159">
        <v>1</v>
      </c>
      <c r="M159">
        <v>1</v>
      </c>
      <c r="N159" t="s">
        <v>33</v>
      </c>
      <c r="O159" t="s">
        <v>33</v>
      </c>
      <c r="P159" t="s">
        <v>25</v>
      </c>
      <c r="Q159">
        <v>4648</v>
      </c>
    </row>
    <row r="160" spans="1:17" x14ac:dyDescent="0.35">
      <c r="A160" t="s">
        <v>80</v>
      </c>
      <c r="B160">
        <v>7</v>
      </c>
      <c r="C160" t="s">
        <v>52</v>
      </c>
      <c r="D160" t="s">
        <v>64</v>
      </c>
      <c r="E160" t="s">
        <v>65</v>
      </c>
      <c r="F160" t="s">
        <v>18</v>
      </c>
      <c r="G160" t="s">
        <v>72</v>
      </c>
      <c r="H160" t="s">
        <v>20</v>
      </c>
      <c r="I160" t="s">
        <v>78</v>
      </c>
      <c r="J160" t="s">
        <v>22</v>
      </c>
      <c r="K160" t="s">
        <v>26</v>
      </c>
      <c r="L160">
        <v>1</v>
      </c>
      <c r="M160">
        <v>1</v>
      </c>
      <c r="N160" t="s">
        <v>32</v>
      </c>
      <c r="O160" t="s">
        <v>32</v>
      </c>
      <c r="P160" t="s">
        <v>25</v>
      </c>
      <c r="Q160">
        <v>3842</v>
      </c>
    </row>
    <row r="161" spans="1:17" x14ac:dyDescent="0.35">
      <c r="A161" t="s">
        <v>80</v>
      </c>
      <c r="B161">
        <v>8</v>
      </c>
      <c r="C161" t="s">
        <v>52</v>
      </c>
      <c r="D161" t="s">
        <v>64</v>
      </c>
      <c r="E161" t="s">
        <v>65</v>
      </c>
      <c r="F161" t="s">
        <v>18</v>
      </c>
      <c r="G161" t="s">
        <v>72</v>
      </c>
      <c r="H161" t="s">
        <v>20</v>
      </c>
      <c r="I161" t="s">
        <v>78</v>
      </c>
      <c r="J161" t="s">
        <v>22</v>
      </c>
      <c r="K161" t="s">
        <v>26</v>
      </c>
      <c r="L161">
        <v>1</v>
      </c>
      <c r="M161">
        <v>1</v>
      </c>
      <c r="N161" t="s">
        <v>33</v>
      </c>
      <c r="O161" t="s">
        <v>33</v>
      </c>
      <c r="P161" t="s">
        <v>25</v>
      </c>
      <c r="Q161">
        <v>3602</v>
      </c>
    </row>
    <row r="162" spans="1:17" x14ac:dyDescent="0.35">
      <c r="A162" t="s">
        <v>81</v>
      </c>
      <c r="B162">
        <v>7</v>
      </c>
      <c r="C162" t="s">
        <v>52</v>
      </c>
      <c r="D162" t="s">
        <v>64</v>
      </c>
      <c r="E162" t="s">
        <v>65</v>
      </c>
      <c r="F162" t="s">
        <v>53</v>
      </c>
      <c r="G162" t="s">
        <v>19</v>
      </c>
      <c r="H162" t="s">
        <v>55</v>
      </c>
      <c r="I162" t="s">
        <v>66</v>
      </c>
      <c r="J162" t="s">
        <v>41</v>
      </c>
      <c r="K162" t="s">
        <v>26</v>
      </c>
      <c r="L162">
        <v>1</v>
      </c>
      <c r="M162">
        <v>1</v>
      </c>
      <c r="N162" t="s">
        <v>32</v>
      </c>
      <c r="O162" t="s">
        <v>32</v>
      </c>
      <c r="P162" t="s">
        <v>25</v>
      </c>
      <c r="Q162">
        <v>17432</v>
      </c>
    </row>
    <row r="163" spans="1:17" x14ac:dyDescent="0.35">
      <c r="A163" t="s">
        <v>81</v>
      </c>
      <c r="B163">
        <v>8</v>
      </c>
      <c r="C163" t="s">
        <v>52</v>
      </c>
      <c r="D163" t="s">
        <v>64</v>
      </c>
      <c r="E163" t="s">
        <v>65</v>
      </c>
      <c r="F163" t="s">
        <v>53</v>
      </c>
      <c r="G163" t="s">
        <v>19</v>
      </c>
      <c r="H163" t="s">
        <v>55</v>
      </c>
      <c r="I163" t="s">
        <v>66</v>
      </c>
      <c r="J163" t="s">
        <v>41</v>
      </c>
      <c r="K163" t="s">
        <v>26</v>
      </c>
      <c r="L163">
        <v>1</v>
      </c>
      <c r="M163">
        <v>1</v>
      </c>
      <c r="N163" t="s">
        <v>33</v>
      </c>
      <c r="O163" t="s">
        <v>33</v>
      </c>
      <c r="P163" t="s">
        <v>25</v>
      </c>
      <c r="Q163">
        <v>9906</v>
      </c>
    </row>
    <row r="164" spans="1:17" x14ac:dyDescent="0.35">
      <c r="A164" t="s">
        <v>84</v>
      </c>
      <c r="B164">
        <v>7</v>
      </c>
      <c r="C164" t="s">
        <v>15</v>
      </c>
      <c r="D164" t="s">
        <v>64</v>
      </c>
      <c r="E164" t="s">
        <v>65</v>
      </c>
      <c r="F164" t="s">
        <v>53</v>
      </c>
      <c r="G164" t="s">
        <v>82</v>
      </c>
      <c r="H164" t="s">
        <v>20</v>
      </c>
      <c r="I164" t="s">
        <v>83</v>
      </c>
      <c r="J164" t="s">
        <v>61</v>
      </c>
      <c r="K164" t="s">
        <v>26</v>
      </c>
      <c r="L164">
        <v>1</v>
      </c>
      <c r="M164">
        <v>1</v>
      </c>
      <c r="N164" t="s">
        <v>32</v>
      </c>
      <c r="O164" t="s">
        <v>32</v>
      </c>
      <c r="P164" t="s">
        <v>25</v>
      </c>
      <c r="Q164">
        <v>7210</v>
      </c>
    </row>
    <row r="165" spans="1:17" x14ac:dyDescent="0.35">
      <c r="A165" t="s">
        <v>84</v>
      </c>
      <c r="B165">
        <v>8</v>
      </c>
      <c r="C165" t="s">
        <v>15</v>
      </c>
      <c r="D165" t="s">
        <v>64</v>
      </c>
      <c r="E165" t="s">
        <v>65</v>
      </c>
      <c r="F165" t="s">
        <v>53</v>
      </c>
      <c r="G165" t="s">
        <v>82</v>
      </c>
      <c r="H165" t="s">
        <v>20</v>
      </c>
      <c r="I165" t="s">
        <v>83</v>
      </c>
      <c r="J165" t="s">
        <v>61</v>
      </c>
      <c r="K165" t="s">
        <v>26</v>
      </c>
      <c r="L165">
        <v>1</v>
      </c>
      <c r="M165">
        <v>1</v>
      </c>
      <c r="N165" t="s">
        <v>33</v>
      </c>
      <c r="O165" t="s">
        <v>33</v>
      </c>
      <c r="P165" t="s">
        <v>25</v>
      </c>
      <c r="Q165">
        <v>5780</v>
      </c>
    </row>
    <row r="166" spans="1:17" x14ac:dyDescent="0.35">
      <c r="A166" t="s">
        <v>87</v>
      </c>
      <c r="B166">
        <v>7</v>
      </c>
      <c r="C166" t="s">
        <v>52</v>
      </c>
      <c r="D166" t="s">
        <v>64</v>
      </c>
      <c r="E166" t="s">
        <v>65</v>
      </c>
      <c r="F166" t="s">
        <v>85</v>
      </c>
      <c r="G166" t="s">
        <v>54</v>
      </c>
      <c r="H166" t="s">
        <v>55</v>
      </c>
      <c r="I166" t="s">
        <v>21</v>
      </c>
      <c r="J166" t="s">
        <v>41</v>
      </c>
      <c r="K166" t="s">
        <v>26</v>
      </c>
      <c r="L166">
        <v>1</v>
      </c>
      <c r="M166">
        <v>1</v>
      </c>
      <c r="N166" t="s">
        <v>32</v>
      </c>
      <c r="O166" t="s">
        <v>32</v>
      </c>
      <c r="P166" t="s">
        <v>25</v>
      </c>
      <c r="Q166">
        <v>24190</v>
      </c>
    </row>
    <row r="167" spans="1:17" x14ac:dyDescent="0.35">
      <c r="A167" t="s">
        <v>87</v>
      </c>
      <c r="B167">
        <v>8</v>
      </c>
      <c r="C167" t="s">
        <v>52</v>
      </c>
      <c r="D167" t="s">
        <v>64</v>
      </c>
      <c r="E167" t="s">
        <v>65</v>
      </c>
      <c r="F167" t="s">
        <v>85</v>
      </c>
      <c r="G167" t="s">
        <v>54</v>
      </c>
      <c r="H167" t="s">
        <v>55</v>
      </c>
      <c r="I167" t="s">
        <v>21</v>
      </c>
      <c r="J167" t="s">
        <v>41</v>
      </c>
      <c r="K167" t="s">
        <v>26</v>
      </c>
      <c r="L167">
        <v>1</v>
      </c>
      <c r="M167">
        <v>1</v>
      </c>
      <c r="N167" t="s">
        <v>33</v>
      </c>
      <c r="O167" t="s">
        <v>33</v>
      </c>
      <c r="P167" t="s">
        <v>25</v>
      </c>
      <c r="Q167">
        <v>13294</v>
      </c>
    </row>
    <row r="168" spans="1:17" x14ac:dyDescent="0.35">
      <c r="A168" t="s">
        <v>90</v>
      </c>
      <c r="B168">
        <v>7</v>
      </c>
      <c r="C168" t="s">
        <v>40</v>
      </c>
      <c r="D168" t="s">
        <v>64</v>
      </c>
      <c r="E168" t="s">
        <v>65</v>
      </c>
      <c r="F168" t="s">
        <v>18</v>
      </c>
      <c r="G168" t="s">
        <v>19</v>
      </c>
      <c r="H168" t="s">
        <v>88</v>
      </c>
      <c r="I168" t="s">
        <v>89</v>
      </c>
      <c r="J168" t="s">
        <v>41</v>
      </c>
      <c r="K168" t="s">
        <v>26</v>
      </c>
      <c r="L168">
        <v>1</v>
      </c>
      <c r="M168">
        <v>1</v>
      </c>
      <c r="N168" t="s">
        <v>32</v>
      </c>
      <c r="O168" t="s">
        <v>32</v>
      </c>
      <c r="P168" t="s">
        <v>25</v>
      </c>
      <c r="Q168">
        <v>5412</v>
      </c>
    </row>
    <row r="169" spans="1:17" x14ac:dyDescent="0.35">
      <c r="A169" t="s">
        <v>90</v>
      </c>
      <c r="B169">
        <v>8</v>
      </c>
      <c r="C169" t="s">
        <v>40</v>
      </c>
      <c r="D169" t="s">
        <v>64</v>
      </c>
      <c r="E169" t="s">
        <v>65</v>
      </c>
      <c r="F169" t="s">
        <v>18</v>
      </c>
      <c r="G169" t="s">
        <v>19</v>
      </c>
      <c r="H169" t="s">
        <v>88</v>
      </c>
      <c r="I169" t="s">
        <v>89</v>
      </c>
      <c r="J169" t="s">
        <v>41</v>
      </c>
      <c r="K169" t="s">
        <v>26</v>
      </c>
      <c r="L169">
        <v>1</v>
      </c>
      <c r="M169">
        <v>1</v>
      </c>
      <c r="N169" t="s">
        <v>33</v>
      </c>
      <c r="O169" t="s">
        <v>33</v>
      </c>
      <c r="P169" t="s">
        <v>25</v>
      </c>
      <c r="Q169">
        <v>6198</v>
      </c>
    </row>
    <row r="170" spans="1:17" x14ac:dyDescent="0.35">
      <c r="A170" t="s">
        <v>91</v>
      </c>
      <c r="B170">
        <v>7</v>
      </c>
      <c r="C170" t="s">
        <v>15</v>
      </c>
      <c r="D170" t="s">
        <v>64</v>
      </c>
      <c r="E170" t="s">
        <v>65</v>
      </c>
      <c r="F170" t="s">
        <v>18</v>
      </c>
      <c r="G170" t="s">
        <v>68</v>
      </c>
      <c r="H170" t="s">
        <v>20</v>
      </c>
      <c r="I170" t="s">
        <v>66</v>
      </c>
      <c r="J170" t="s">
        <v>41</v>
      </c>
      <c r="K170" t="s">
        <v>26</v>
      </c>
      <c r="L170">
        <v>1</v>
      </c>
      <c r="M170">
        <v>1</v>
      </c>
      <c r="N170" t="s">
        <v>32</v>
      </c>
      <c r="O170" t="s">
        <v>32</v>
      </c>
      <c r="P170" t="s">
        <v>25</v>
      </c>
      <c r="Q170">
        <v>5844</v>
      </c>
    </row>
    <row r="171" spans="1:17" x14ac:dyDescent="0.35">
      <c r="A171" t="s">
        <v>91</v>
      </c>
      <c r="B171">
        <v>8</v>
      </c>
      <c r="C171" t="s">
        <v>15</v>
      </c>
      <c r="D171" t="s">
        <v>64</v>
      </c>
      <c r="E171" t="s">
        <v>65</v>
      </c>
      <c r="F171" t="s">
        <v>18</v>
      </c>
      <c r="G171" t="s">
        <v>68</v>
      </c>
      <c r="H171" t="s">
        <v>20</v>
      </c>
      <c r="I171" t="s">
        <v>66</v>
      </c>
      <c r="J171" t="s">
        <v>41</v>
      </c>
      <c r="K171" t="s">
        <v>26</v>
      </c>
      <c r="L171">
        <v>1</v>
      </c>
      <c r="M171">
        <v>1</v>
      </c>
      <c r="N171" t="s">
        <v>33</v>
      </c>
      <c r="O171" t="s">
        <v>33</v>
      </c>
      <c r="P171" t="s">
        <v>25</v>
      </c>
      <c r="Q171">
        <v>4084</v>
      </c>
    </row>
    <row r="172" spans="1:17" x14ac:dyDescent="0.35">
      <c r="A172" t="s">
        <v>92</v>
      </c>
      <c r="B172">
        <v>7</v>
      </c>
      <c r="C172" t="s">
        <v>40</v>
      </c>
      <c r="D172" t="s">
        <v>64</v>
      </c>
      <c r="E172" t="s">
        <v>65</v>
      </c>
      <c r="F172" t="s">
        <v>18</v>
      </c>
      <c r="G172" t="s">
        <v>54</v>
      </c>
      <c r="H172" t="s">
        <v>55</v>
      </c>
      <c r="I172" t="s">
        <v>78</v>
      </c>
      <c r="J172" t="s">
        <v>41</v>
      </c>
      <c r="K172" t="s">
        <v>26</v>
      </c>
      <c r="L172">
        <v>1</v>
      </c>
      <c r="M172">
        <v>1</v>
      </c>
      <c r="N172" t="s">
        <v>32</v>
      </c>
      <c r="O172" t="s">
        <v>32</v>
      </c>
      <c r="P172" t="s">
        <v>25</v>
      </c>
      <c r="Q172">
        <v>3915</v>
      </c>
    </row>
    <row r="173" spans="1:17" x14ac:dyDescent="0.35">
      <c r="A173" t="s">
        <v>92</v>
      </c>
      <c r="B173">
        <v>8</v>
      </c>
      <c r="C173" t="s">
        <v>40</v>
      </c>
      <c r="D173" t="s">
        <v>64</v>
      </c>
      <c r="E173" t="s">
        <v>65</v>
      </c>
      <c r="F173" t="s">
        <v>18</v>
      </c>
      <c r="G173" t="s">
        <v>54</v>
      </c>
      <c r="H173" t="s">
        <v>55</v>
      </c>
      <c r="I173" t="s">
        <v>78</v>
      </c>
      <c r="J173" t="s">
        <v>41</v>
      </c>
      <c r="K173" t="s">
        <v>26</v>
      </c>
      <c r="L173">
        <v>1</v>
      </c>
      <c r="M173">
        <v>1</v>
      </c>
      <c r="N173" t="s">
        <v>33</v>
      </c>
      <c r="O173" t="s">
        <v>33</v>
      </c>
      <c r="P173" t="s">
        <v>25</v>
      </c>
      <c r="Q173">
        <v>5323</v>
      </c>
    </row>
    <row r="174" spans="1:17" x14ac:dyDescent="0.35">
      <c r="A174" t="s">
        <v>94</v>
      </c>
      <c r="B174">
        <v>7</v>
      </c>
      <c r="C174" t="s">
        <v>40</v>
      </c>
      <c r="D174" t="s">
        <v>16</v>
      </c>
      <c r="E174" t="s">
        <v>17</v>
      </c>
      <c r="F174" t="s">
        <v>53</v>
      </c>
      <c r="G174" t="s">
        <v>54</v>
      </c>
      <c r="H174" t="s">
        <v>20</v>
      </c>
      <c r="I174" t="s">
        <v>21</v>
      </c>
      <c r="J174" t="s">
        <v>41</v>
      </c>
      <c r="K174" t="s">
        <v>26</v>
      </c>
      <c r="L174">
        <v>1</v>
      </c>
      <c r="M174">
        <v>1</v>
      </c>
      <c r="N174" t="s">
        <v>32</v>
      </c>
      <c r="O174" t="s">
        <v>32</v>
      </c>
      <c r="P174" t="s">
        <v>25</v>
      </c>
      <c r="Q174">
        <v>6328</v>
      </c>
    </row>
    <row r="175" spans="1:17" x14ac:dyDescent="0.35">
      <c r="A175" t="s">
        <v>94</v>
      </c>
      <c r="B175">
        <v>8</v>
      </c>
      <c r="C175" t="s">
        <v>40</v>
      </c>
      <c r="D175" t="s">
        <v>16</v>
      </c>
      <c r="E175" t="s">
        <v>17</v>
      </c>
      <c r="F175" t="s">
        <v>53</v>
      </c>
      <c r="G175" t="s">
        <v>54</v>
      </c>
      <c r="H175" t="s">
        <v>20</v>
      </c>
      <c r="I175" t="s">
        <v>21</v>
      </c>
      <c r="J175" t="s">
        <v>41</v>
      </c>
      <c r="K175" t="s">
        <v>26</v>
      </c>
      <c r="L175">
        <v>1</v>
      </c>
      <c r="M175">
        <v>1</v>
      </c>
      <c r="N175" t="s">
        <v>33</v>
      </c>
      <c r="O175" t="s">
        <v>33</v>
      </c>
      <c r="P175" t="s">
        <v>25</v>
      </c>
      <c r="Q175">
        <v>9168</v>
      </c>
    </row>
    <row r="176" spans="1:17" x14ac:dyDescent="0.35">
      <c r="A176" t="s">
        <v>101</v>
      </c>
      <c r="B176">
        <v>7</v>
      </c>
      <c r="C176" t="s">
        <v>15</v>
      </c>
      <c r="D176" t="s">
        <v>64</v>
      </c>
      <c r="E176" t="s">
        <v>65</v>
      </c>
      <c r="F176" t="s">
        <v>53</v>
      </c>
      <c r="G176" t="s">
        <v>82</v>
      </c>
      <c r="H176" t="s">
        <v>55</v>
      </c>
      <c r="I176" t="s">
        <v>83</v>
      </c>
      <c r="J176" t="s">
        <v>22</v>
      </c>
      <c r="K176" t="s">
        <v>26</v>
      </c>
      <c r="L176">
        <v>1</v>
      </c>
      <c r="M176">
        <v>1</v>
      </c>
      <c r="N176" t="s">
        <v>32</v>
      </c>
      <c r="O176" t="s">
        <v>32</v>
      </c>
      <c r="P176" t="s">
        <v>25</v>
      </c>
      <c r="Q176">
        <v>7372</v>
      </c>
    </row>
    <row r="177" spans="1:17" x14ac:dyDescent="0.35">
      <c r="A177" t="s">
        <v>101</v>
      </c>
      <c r="B177">
        <v>8</v>
      </c>
      <c r="C177" t="s">
        <v>15</v>
      </c>
      <c r="D177" t="s">
        <v>64</v>
      </c>
      <c r="E177" t="s">
        <v>65</v>
      </c>
      <c r="F177" t="s">
        <v>53</v>
      </c>
      <c r="G177" t="s">
        <v>82</v>
      </c>
      <c r="H177" t="s">
        <v>55</v>
      </c>
      <c r="I177" t="s">
        <v>83</v>
      </c>
      <c r="J177" t="s">
        <v>22</v>
      </c>
      <c r="K177" t="s">
        <v>26</v>
      </c>
      <c r="L177">
        <v>1</v>
      </c>
      <c r="M177">
        <v>1</v>
      </c>
      <c r="N177" t="s">
        <v>33</v>
      </c>
      <c r="O177" t="s">
        <v>33</v>
      </c>
      <c r="P177" t="s">
        <v>25</v>
      </c>
      <c r="Q177">
        <v>5578</v>
      </c>
    </row>
    <row r="178" spans="1:17" x14ac:dyDescent="0.35">
      <c r="A178" t="s">
        <v>39</v>
      </c>
      <c r="B178">
        <v>3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26</v>
      </c>
      <c r="L178">
        <v>3</v>
      </c>
      <c r="M178">
        <v>1</v>
      </c>
      <c r="N178" t="s">
        <v>28</v>
      </c>
      <c r="O178" t="s">
        <v>28</v>
      </c>
      <c r="P178" t="s">
        <v>25</v>
      </c>
      <c r="Q178">
        <v>22820</v>
      </c>
    </row>
    <row r="179" spans="1:17" x14ac:dyDescent="0.35">
      <c r="A179" t="s">
        <v>39</v>
      </c>
      <c r="B179">
        <v>11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26</v>
      </c>
      <c r="L179">
        <v>3</v>
      </c>
      <c r="M179">
        <v>1</v>
      </c>
      <c r="N179" t="s">
        <v>36</v>
      </c>
      <c r="O179" t="s">
        <v>36</v>
      </c>
      <c r="P179" t="s">
        <v>25</v>
      </c>
      <c r="Q179">
        <v>14329</v>
      </c>
    </row>
    <row r="180" spans="1:17" x14ac:dyDescent="0.35">
      <c r="A180" t="s">
        <v>51</v>
      </c>
      <c r="B180">
        <v>3</v>
      </c>
      <c r="C180" t="s">
        <v>40</v>
      </c>
      <c r="D180" t="s">
        <v>16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41</v>
      </c>
      <c r="K180" t="s">
        <v>26</v>
      </c>
      <c r="L180">
        <v>3</v>
      </c>
      <c r="M180">
        <v>1</v>
      </c>
      <c r="N180" t="s">
        <v>28</v>
      </c>
      <c r="O180" t="s">
        <v>45</v>
      </c>
      <c r="P180" t="s">
        <v>43</v>
      </c>
      <c r="Q180">
        <v>6226</v>
      </c>
    </row>
    <row r="181" spans="1:17" x14ac:dyDescent="0.35">
      <c r="A181" t="s">
        <v>51</v>
      </c>
      <c r="B181">
        <v>11</v>
      </c>
      <c r="C181" t="s">
        <v>40</v>
      </c>
      <c r="D181" t="s">
        <v>16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41</v>
      </c>
      <c r="K181" t="s">
        <v>26</v>
      </c>
      <c r="L181">
        <v>3</v>
      </c>
      <c r="M181">
        <v>1</v>
      </c>
      <c r="N181" t="s">
        <v>36</v>
      </c>
      <c r="O181" t="s">
        <v>49</v>
      </c>
      <c r="P181" t="s">
        <v>43</v>
      </c>
      <c r="Q181">
        <v>6446</v>
      </c>
    </row>
    <row r="182" spans="1:17" x14ac:dyDescent="0.35">
      <c r="A182" t="s">
        <v>58</v>
      </c>
      <c r="B182">
        <v>3</v>
      </c>
      <c r="C182" t="s">
        <v>52</v>
      </c>
      <c r="D182" t="s">
        <v>16</v>
      </c>
      <c r="E182" t="s">
        <v>17</v>
      </c>
      <c r="F182" t="s">
        <v>53</v>
      </c>
      <c r="G182" t="s">
        <v>54</v>
      </c>
      <c r="H182" t="s">
        <v>55</v>
      </c>
      <c r="I182" t="s">
        <v>56</v>
      </c>
      <c r="J182" t="s">
        <v>22</v>
      </c>
      <c r="K182" t="s">
        <v>26</v>
      </c>
      <c r="L182">
        <v>3</v>
      </c>
      <c r="M182">
        <v>1</v>
      </c>
      <c r="N182" t="s">
        <v>28</v>
      </c>
      <c r="O182" t="s">
        <v>28</v>
      </c>
      <c r="P182" t="s">
        <v>25</v>
      </c>
      <c r="Q182">
        <v>15828</v>
      </c>
    </row>
    <row r="183" spans="1:17" x14ac:dyDescent="0.35">
      <c r="A183" t="s">
        <v>58</v>
      </c>
      <c r="B183">
        <v>11</v>
      </c>
      <c r="C183" t="s">
        <v>52</v>
      </c>
      <c r="D183" t="s">
        <v>16</v>
      </c>
      <c r="E183" t="s">
        <v>17</v>
      </c>
      <c r="F183" t="s">
        <v>53</v>
      </c>
      <c r="G183" t="s">
        <v>54</v>
      </c>
      <c r="H183" t="s">
        <v>55</v>
      </c>
      <c r="I183" t="s">
        <v>56</v>
      </c>
      <c r="J183" t="s">
        <v>22</v>
      </c>
      <c r="K183" t="s">
        <v>26</v>
      </c>
      <c r="L183">
        <v>3</v>
      </c>
      <c r="M183">
        <v>1</v>
      </c>
      <c r="N183" t="s">
        <v>36</v>
      </c>
      <c r="O183" t="s">
        <v>36</v>
      </c>
      <c r="P183" t="s">
        <v>25</v>
      </c>
      <c r="Q183">
        <v>15964</v>
      </c>
    </row>
    <row r="184" spans="1:17" x14ac:dyDescent="0.35">
      <c r="A184" t="s">
        <v>60</v>
      </c>
      <c r="B184">
        <v>3</v>
      </c>
      <c r="C184" t="s">
        <v>59</v>
      </c>
      <c r="D184" t="s">
        <v>16</v>
      </c>
      <c r="E184" t="s">
        <v>17</v>
      </c>
      <c r="F184" t="s">
        <v>18</v>
      </c>
      <c r="G184" t="s">
        <v>54</v>
      </c>
      <c r="H184" t="s">
        <v>55</v>
      </c>
      <c r="I184" t="s">
        <v>21</v>
      </c>
      <c r="J184" t="s">
        <v>22</v>
      </c>
      <c r="K184" t="s">
        <v>26</v>
      </c>
      <c r="L184">
        <v>3</v>
      </c>
      <c r="M184">
        <v>1</v>
      </c>
      <c r="N184" t="s">
        <v>28</v>
      </c>
      <c r="O184" t="s">
        <v>28</v>
      </c>
      <c r="P184" t="s">
        <v>25</v>
      </c>
      <c r="Q184">
        <v>14917</v>
      </c>
    </row>
    <row r="185" spans="1:17" x14ac:dyDescent="0.35">
      <c r="A185" t="s">
        <v>60</v>
      </c>
      <c r="B185">
        <v>11</v>
      </c>
      <c r="C185" t="s">
        <v>59</v>
      </c>
      <c r="D185" t="s">
        <v>16</v>
      </c>
      <c r="E185" t="s">
        <v>17</v>
      </c>
      <c r="F185" t="s">
        <v>18</v>
      </c>
      <c r="G185" t="s">
        <v>54</v>
      </c>
      <c r="H185" t="s">
        <v>55</v>
      </c>
      <c r="I185" t="s">
        <v>21</v>
      </c>
      <c r="J185" t="s">
        <v>22</v>
      </c>
      <c r="K185" t="s">
        <v>26</v>
      </c>
      <c r="L185">
        <v>3</v>
      </c>
      <c r="M185">
        <v>1</v>
      </c>
      <c r="N185" t="s">
        <v>36</v>
      </c>
      <c r="O185" t="s">
        <v>36</v>
      </c>
      <c r="P185" t="s">
        <v>25</v>
      </c>
      <c r="Q185">
        <v>13172</v>
      </c>
    </row>
    <row r="186" spans="1:17" x14ac:dyDescent="0.35">
      <c r="A186" t="s">
        <v>62</v>
      </c>
      <c r="B186">
        <v>3</v>
      </c>
      <c r="C186" t="s">
        <v>15</v>
      </c>
      <c r="D186" t="s">
        <v>16</v>
      </c>
      <c r="E186" t="s">
        <v>17</v>
      </c>
      <c r="F186" t="s">
        <v>53</v>
      </c>
      <c r="G186" t="s">
        <v>72</v>
      </c>
      <c r="H186" t="s">
        <v>20</v>
      </c>
      <c r="I186" t="s">
        <v>21</v>
      </c>
      <c r="J186" t="s">
        <v>41</v>
      </c>
      <c r="K186" t="s">
        <v>26</v>
      </c>
      <c r="L186">
        <v>3</v>
      </c>
      <c r="M186">
        <v>1</v>
      </c>
      <c r="N186" t="s">
        <v>28</v>
      </c>
      <c r="O186" t="s">
        <v>28</v>
      </c>
      <c r="P186" t="s">
        <v>25</v>
      </c>
      <c r="Q186">
        <v>15315</v>
      </c>
    </row>
    <row r="187" spans="1:17" x14ac:dyDescent="0.35">
      <c r="A187" t="s">
        <v>62</v>
      </c>
      <c r="B187">
        <v>11</v>
      </c>
      <c r="C187" t="s">
        <v>15</v>
      </c>
      <c r="D187" t="s">
        <v>16</v>
      </c>
      <c r="E187" t="s">
        <v>17</v>
      </c>
      <c r="F187" t="s">
        <v>53</v>
      </c>
      <c r="G187" t="s">
        <v>72</v>
      </c>
      <c r="H187" t="s">
        <v>20</v>
      </c>
      <c r="I187" t="s">
        <v>21</v>
      </c>
      <c r="J187" t="s">
        <v>41</v>
      </c>
      <c r="K187" t="s">
        <v>26</v>
      </c>
      <c r="L187">
        <v>3</v>
      </c>
      <c r="M187">
        <v>1</v>
      </c>
      <c r="N187" t="s">
        <v>36</v>
      </c>
      <c r="O187" t="s">
        <v>36</v>
      </c>
      <c r="P187" t="s">
        <v>25</v>
      </c>
      <c r="Q187">
        <v>14758</v>
      </c>
    </row>
    <row r="188" spans="1:17" x14ac:dyDescent="0.35">
      <c r="A188" t="s">
        <v>63</v>
      </c>
      <c r="B188">
        <v>3</v>
      </c>
      <c r="C188" t="s">
        <v>52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56</v>
      </c>
      <c r="J188" t="s">
        <v>61</v>
      </c>
      <c r="K188" t="s">
        <v>26</v>
      </c>
      <c r="L188">
        <v>3</v>
      </c>
      <c r="M188">
        <v>1</v>
      </c>
      <c r="N188" t="s">
        <v>28</v>
      </c>
      <c r="O188" t="s">
        <v>28</v>
      </c>
      <c r="P188" t="s">
        <v>25</v>
      </c>
      <c r="Q188">
        <v>10230</v>
      </c>
    </row>
    <row r="189" spans="1:17" x14ac:dyDescent="0.35">
      <c r="A189" t="s">
        <v>63</v>
      </c>
      <c r="B189">
        <v>11</v>
      </c>
      <c r="C189" t="s">
        <v>52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56</v>
      </c>
      <c r="J189" t="s">
        <v>61</v>
      </c>
      <c r="K189" t="s">
        <v>26</v>
      </c>
      <c r="L189">
        <v>3</v>
      </c>
      <c r="M189">
        <v>1</v>
      </c>
      <c r="N189" t="s">
        <v>36</v>
      </c>
      <c r="O189" t="s">
        <v>36</v>
      </c>
      <c r="P189" t="s">
        <v>25</v>
      </c>
      <c r="Q189">
        <v>8689</v>
      </c>
    </row>
    <row r="190" spans="1:17" x14ac:dyDescent="0.35">
      <c r="A190" t="s">
        <v>71</v>
      </c>
      <c r="B190">
        <v>3</v>
      </c>
      <c r="C190" t="s">
        <v>15</v>
      </c>
      <c r="D190" t="s">
        <v>16</v>
      </c>
      <c r="E190" t="s">
        <v>17</v>
      </c>
      <c r="F190" t="s">
        <v>53</v>
      </c>
      <c r="G190" t="s">
        <v>54</v>
      </c>
      <c r="H190" t="s">
        <v>20</v>
      </c>
      <c r="I190" t="s">
        <v>21</v>
      </c>
      <c r="J190" t="s">
        <v>41</v>
      </c>
      <c r="K190" t="s">
        <v>26</v>
      </c>
      <c r="L190">
        <v>3</v>
      </c>
      <c r="M190">
        <v>1</v>
      </c>
      <c r="N190" t="s">
        <v>28</v>
      </c>
      <c r="O190" t="s">
        <v>28</v>
      </c>
      <c r="P190" t="s">
        <v>25</v>
      </c>
      <c r="Q190">
        <v>8480</v>
      </c>
    </row>
    <row r="191" spans="1:17" x14ac:dyDescent="0.35">
      <c r="A191" t="s">
        <v>71</v>
      </c>
      <c r="B191">
        <v>11</v>
      </c>
      <c r="C191" t="s">
        <v>15</v>
      </c>
      <c r="D191" t="s">
        <v>16</v>
      </c>
      <c r="E191" t="s">
        <v>17</v>
      </c>
      <c r="F191" t="s">
        <v>53</v>
      </c>
      <c r="G191" t="s">
        <v>54</v>
      </c>
      <c r="H191" t="s">
        <v>20</v>
      </c>
      <c r="I191" t="s">
        <v>21</v>
      </c>
      <c r="J191" t="s">
        <v>41</v>
      </c>
      <c r="K191" t="s">
        <v>26</v>
      </c>
      <c r="L191">
        <v>3</v>
      </c>
      <c r="M191">
        <v>1</v>
      </c>
      <c r="N191" t="s">
        <v>36</v>
      </c>
      <c r="O191" t="s">
        <v>36</v>
      </c>
      <c r="P191" t="s">
        <v>25</v>
      </c>
      <c r="Q191">
        <v>6869</v>
      </c>
    </row>
    <row r="192" spans="1:17" x14ac:dyDescent="0.35">
      <c r="A192" t="s">
        <v>69</v>
      </c>
      <c r="B192">
        <v>3</v>
      </c>
      <c r="C192" t="s">
        <v>40</v>
      </c>
      <c r="D192" t="s">
        <v>64</v>
      </c>
      <c r="E192" t="s">
        <v>65</v>
      </c>
      <c r="F192" t="s">
        <v>53</v>
      </c>
      <c r="G192" t="s">
        <v>54</v>
      </c>
      <c r="H192" t="s">
        <v>20</v>
      </c>
      <c r="I192" t="s">
        <v>66</v>
      </c>
      <c r="J192" t="s">
        <v>41</v>
      </c>
      <c r="K192" t="s">
        <v>26</v>
      </c>
      <c r="L192">
        <v>3</v>
      </c>
      <c r="M192">
        <v>2</v>
      </c>
      <c r="N192" t="s">
        <v>28</v>
      </c>
      <c r="O192" t="s">
        <v>28</v>
      </c>
      <c r="P192" t="s">
        <v>25</v>
      </c>
      <c r="Q192">
        <v>20079</v>
      </c>
    </row>
    <row r="193" spans="1:19" x14ac:dyDescent="0.35">
      <c r="A193" t="s">
        <v>69</v>
      </c>
      <c r="B193">
        <v>11</v>
      </c>
      <c r="C193" t="s">
        <v>40</v>
      </c>
      <c r="D193" t="s">
        <v>64</v>
      </c>
      <c r="E193" t="s">
        <v>65</v>
      </c>
      <c r="F193" t="s">
        <v>53</v>
      </c>
      <c r="G193" t="s">
        <v>54</v>
      </c>
      <c r="H193" t="s">
        <v>20</v>
      </c>
      <c r="I193" t="s">
        <v>66</v>
      </c>
      <c r="J193" t="s">
        <v>41</v>
      </c>
      <c r="K193" t="s">
        <v>26</v>
      </c>
      <c r="L193">
        <v>3</v>
      </c>
      <c r="M193">
        <v>1</v>
      </c>
      <c r="N193" t="s">
        <v>36</v>
      </c>
      <c r="O193" t="s">
        <v>36</v>
      </c>
      <c r="P193" t="s">
        <v>25</v>
      </c>
      <c r="Q193">
        <v>17193</v>
      </c>
    </row>
    <row r="194" spans="1:19" x14ac:dyDescent="0.35">
      <c r="A194" t="s">
        <v>70</v>
      </c>
      <c r="B194">
        <v>3</v>
      </c>
      <c r="C194" t="s">
        <v>52</v>
      </c>
      <c r="D194" t="s">
        <v>64</v>
      </c>
      <c r="E194" t="s">
        <v>65</v>
      </c>
      <c r="F194" t="s">
        <v>53</v>
      </c>
      <c r="G194" t="s">
        <v>68</v>
      </c>
      <c r="H194" t="s">
        <v>20</v>
      </c>
      <c r="I194" t="s">
        <v>21</v>
      </c>
      <c r="J194" t="s">
        <v>41</v>
      </c>
      <c r="K194" t="s">
        <v>26</v>
      </c>
      <c r="L194">
        <v>3</v>
      </c>
      <c r="M194">
        <v>2</v>
      </c>
      <c r="N194" t="s">
        <v>28</v>
      </c>
      <c r="O194" t="s">
        <v>28</v>
      </c>
      <c r="P194" t="s">
        <v>25</v>
      </c>
      <c r="Q194">
        <v>20949</v>
      </c>
      <c r="R194" t="s">
        <v>86</v>
      </c>
      <c r="S194">
        <v>54856</v>
      </c>
    </row>
    <row r="195" spans="1:19" x14ac:dyDescent="0.35">
      <c r="A195" t="s">
        <v>70</v>
      </c>
      <c r="B195">
        <v>11</v>
      </c>
      <c r="C195" t="s">
        <v>52</v>
      </c>
      <c r="D195" t="s">
        <v>64</v>
      </c>
      <c r="E195" t="s">
        <v>65</v>
      </c>
      <c r="F195" t="s">
        <v>53</v>
      </c>
      <c r="G195" t="s">
        <v>68</v>
      </c>
      <c r="H195" t="s">
        <v>20</v>
      </c>
      <c r="I195" t="s">
        <v>21</v>
      </c>
      <c r="J195" t="s">
        <v>41</v>
      </c>
      <c r="K195" t="s">
        <v>26</v>
      </c>
      <c r="L195">
        <v>3</v>
      </c>
      <c r="M195">
        <v>1</v>
      </c>
      <c r="N195" t="s">
        <v>36</v>
      </c>
      <c r="O195" t="s">
        <v>36</v>
      </c>
      <c r="P195" t="s">
        <v>25</v>
      </c>
      <c r="Q195">
        <v>12060</v>
      </c>
    </row>
    <row r="196" spans="1:19" x14ac:dyDescent="0.35">
      <c r="A196" t="s">
        <v>74</v>
      </c>
      <c r="B196">
        <v>3</v>
      </c>
      <c r="C196" t="s">
        <v>15</v>
      </c>
      <c r="D196" t="s">
        <v>16</v>
      </c>
      <c r="E196" t="s">
        <v>17</v>
      </c>
      <c r="F196" t="s">
        <v>18</v>
      </c>
      <c r="G196" t="s">
        <v>54</v>
      </c>
      <c r="H196" t="s">
        <v>20</v>
      </c>
      <c r="I196" t="s">
        <v>21</v>
      </c>
      <c r="J196" t="s">
        <v>41</v>
      </c>
      <c r="K196" t="s">
        <v>26</v>
      </c>
      <c r="L196">
        <v>3</v>
      </c>
      <c r="M196">
        <v>1</v>
      </c>
      <c r="N196" t="s">
        <v>28</v>
      </c>
      <c r="O196" t="s">
        <v>28</v>
      </c>
      <c r="P196" t="s">
        <v>25</v>
      </c>
      <c r="Q196">
        <v>16863</v>
      </c>
    </row>
    <row r="197" spans="1:19" x14ac:dyDescent="0.35">
      <c r="A197" t="s">
        <v>74</v>
      </c>
      <c r="B197">
        <v>11</v>
      </c>
      <c r="C197" t="s">
        <v>15</v>
      </c>
      <c r="D197" t="s">
        <v>16</v>
      </c>
      <c r="E197" t="s">
        <v>17</v>
      </c>
      <c r="F197" t="s">
        <v>18</v>
      </c>
      <c r="G197" t="s">
        <v>54</v>
      </c>
      <c r="H197" t="s">
        <v>20</v>
      </c>
      <c r="I197" t="s">
        <v>21</v>
      </c>
      <c r="J197" t="s">
        <v>41</v>
      </c>
      <c r="K197" t="s">
        <v>26</v>
      </c>
      <c r="L197">
        <v>3</v>
      </c>
      <c r="M197">
        <v>1</v>
      </c>
      <c r="N197" t="s">
        <v>36</v>
      </c>
      <c r="O197" t="s">
        <v>36</v>
      </c>
      <c r="P197" t="s">
        <v>25</v>
      </c>
      <c r="Q197">
        <v>10016</v>
      </c>
    </row>
    <row r="198" spans="1:19" x14ac:dyDescent="0.35">
      <c r="A198" t="s">
        <v>76</v>
      </c>
      <c r="B198">
        <v>3</v>
      </c>
      <c r="C198" t="s">
        <v>15</v>
      </c>
      <c r="D198" t="s">
        <v>16</v>
      </c>
      <c r="E198" t="s">
        <v>17</v>
      </c>
      <c r="F198" t="s">
        <v>18</v>
      </c>
      <c r="G198" t="s">
        <v>72</v>
      </c>
      <c r="H198" t="s">
        <v>20</v>
      </c>
      <c r="I198" t="s">
        <v>21</v>
      </c>
      <c r="J198" t="s">
        <v>22</v>
      </c>
      <c r="K198" t="s">
        <v>26</v>
      </c>
      <c r="L198">
        <v>3</v>
      </c>
      <c r="M198">
        <v>1</v>
      </c>
      <c r="N198" t="s">
        <v>28</v>
      </c>
      <c r="O198" t="s">
        <v>45</v>
      </c>
      <c r="P198" t="s">
        <v>43</v>
      </c>
      <c r="Q198">
        <v>7376</v>
      </c>
    </row>
    <row r="199" spans="1:19" x14ac:dyDescent="0.35">
      <c r="A199" t="s">
        <v>76</v>
      </c>
      <c r="B199">
        <v>11</v>
      </c>
      <c r="C199" t="s">
        <v>15</v>
      </c>
      <c r="D199" t="s">
        <v>16</v>
      </c>
      <c r="E199" t="s">
        <v>17</v>
      </c>
      <c r="F199" t="s">
        <v>18</v>
      </c>
      <c r="G199" t="s">
        <v>72</v>
      </c>
      <c r="H199" t="s">
        <v>20</v>
      </c>
      <c r="I199" t="s">
        <v>21</v>
      </c>
      <c r="J199" t="s">
        <v>22</v>
      </c>
      <c r="K199" t="s">
        <v>26</v>
      </c>
      <c r="L199">
        <v>3</v>
      </c>
      <c r="M199">
        <v>1</v>
      </c>
      <c r="N199" t="s">
        <v>36</v>
      </c>
      <c r="O199" t="s">
        <v>49</v>
      </c>
      <c r="P199" t="s">
        <v>43</v>
      </c>
      <c r="Q199">
        <v>7042</v>
      </c>
    </row>
    <row r="200" spans="1:19" x14ac:dyDescent="0.35">
      <c r="A200" t="s">
        <v>77</v>
      </c>
      <c r="B200">
        <v>3</v>
      </c>
      <c r="C200" t="s">
        <v>15</v>
      </c>
      <c r="D200" t="s">
        <v>16</v>
      </c>
      <c r="E200" t="s">
        <v>17</v>
      </c>
      <c r="F200" t="s">
        <v>18</v>
      </c>
      <c r="G200" t="s">
        <v>54</v>
      </c>
      <c r="H200" t="s">
        <v>20</v>
      </c>
      <c r="I200" t="s">
        <v>21</v>
      </c>
      <c r="J200" t="s">
        <v>41</v>
      </c>
      <c r="K200" t="s">
        <v>26</v>
      </c>
      <c r="L200">
        <v>3</v>
      </c>
      <c r="M200">
        <v>1</v>
      </c>
      <c r="N200" t="s">
        <v>28</v>
      </c>
      <c r="O200" t="s">
        <v>45</v>
      </c>
      <c r="P200" t="s">
        <v>43</v>
      </c>
      <c r="Q200">
        <v>7079</v>
      </c>
    </row>
    <row r="201" spans="1:19" x14ac:dyDescent="0.35">
      <c r="A201" t="s">
        <v>77</v>
      </c>
      <c r="B201">
        <v>11</v>
      </c>
      <c r="C201" t="s">
        <v>15</v>
      </c>
      <c r="D201" t="s">
        <v>16</v>
      </c>
      <c r="E201" t="s">
        <v>17</v>
      </c>
      <c r="F201" t="s">
        <v>18</v>
      </c>
      <c r="G201" t="s">
        <v>54</v>
      </c>
      <c r="H201" t="s">
        <v>20</v>
      </c>
      <c r="I201" t="s">
        <v>21</v>
      </c>
      <c r="J201" t="s">
        <v>41</v>
      </c>
      <c r="K201" t="s">
        <v>26</v>
      </c>
      <c r="L201">
        <v>3</v>
      </c>
      <c r="M201">
        <v>1</v>
      </c>
      <c r="N201" t="s">
        <v>36</v>
      </c>
      <c r="O201" t="s">
        <v>49</v>
      </c>
      <c r="P201" t="s">
        <v>43</v>
      </c>
      <c r="Q201">
        <v>6774</v>
      </c>
    </row>
    <row r="202" spans="1:19" x14ac:dyDescent="0.35">
      <c r="A202" t="s">
        <v>79</v>
      </c>
      <c r="B202">
        <v>3</v>
      </c>
      <c r="C202" t="s">
        <v>40</v>
      </c>
      <c r="D202" t="s">
        <v>64</v>
      </c>
      <c r="E202" t="s">
        <v>17</v>
      </c>
      <c r="F202" t="s">
        <v>53</v>
      </c>
      <c r="G202" t="s">
        <v>72</v>
      </c>
      <c r="H202" t="s">
        <v>20</v>
      </c>
      <c r="I202" t="s">
        <v>78</v>
      </c>
      <c r="J202" t="s">
        <v>61</v>
      </c>
      <c r="K202" t="s">
        <v>26</v>
      </c>
      <c r="L202">
        <v>3</v>
      </c>
      <c r="M202">
        <v>1</v>
      </c>
      <c r="N202" t="s">
        <v>28</v>
      </c>
      <c r="O202" t="s">
        <v>28</v>
      </c>
      <c r="P202" t="s">
        <v>25</v>
      </c>
      <c r="Q202">
        <v>12329</v>
      </c>
    </row>
    <row r="203" spans="1:19" x14ac:dyDescent="0.35">
      <c r="A203" t="s">
        <v>79</v>
      </c>
      <c r="B203">
        <v>11</v>
      </c>
      <c r="C203" t="s">
        <v>40</v>
      </c>
      <c r="D203" t="s">
        <v>64</v>
      </c>
      <c r="E203" t="s">
        <v>17</v>
      </c>
      <c r="F203" t="s">
        <v>53</v>
      </c>
      <c r="G203" t="s">
        <v>72</v>
      </c>
      <c r="H203" t="s">
        <v>20</v>
      </c>
      <c r="I203" t="s">
        <v>78</v>
      </c>
      <c r="J203" t="s">
        <v>61</v>
      </c>
      <c r="K203" t="s">
        <v>26</v>
      </c>
      <c r="L203">
        <v>3</v>
      </c>
      <c r="M203">
        <v>1</v>
      </c>
      <c r="N203" t="s">
        <v>36</v>
      </c>
      <c r="O203" t="s">
        <v>36</v>
      </c>
      <c r="P203" t="s">
        <v>25</v>
      </c>
      <c r="Q203">
        <v>8827</v>
      </c>
    </row>
    <row r="204" spans="1:19" x14ac:dyDescent="0.35">
      <c r="A204" t="s">
        <v>80</v>
      </c>
      <c r="B204">
        <v>3</v>
      </c>
      <c r="C204" t="s">
        <v>52</v>
      </c>
      <c r="D204" t="s">
        <v>64</v>
      </c>
      <c r="E204" t="s">
        <v>65</v>
      </c>
      <c r="F204" t="s">
        <v>18</v>
      </c>
      <c r="G204" t="s">
        <v>72</v>
      </c>
      <c r="H204" t="s">
        <v>20</v>
      </c>
      <c r="I204" t="s">
        <v>78</v>
      </c>
      <c r="J204" t="s">
        <v>22</v>
      </c>
      <c r="K204" t="s">
        <v>26</v>
      </c>
      <c r="L204">
        <v>3</v>
      </c>
      <c r="M204">
        <v>1</v>
      </c>
      <c r="N204" t="s">
        <v>28</v>
      </c>
      <c r="O204" t="s">
        <v>45</v>
      </c>
      <c r="P204" t="s">
        <v>43</v>
      </c>
      <c r="Q204">
        <v>10307</v>
      </c>
    </row>
    <row r="205" spans="1:19" x14ac:dyDescent="0.35">
      <c r="A205" t="s">
        <v>80</v>
      </c>
      <c r="B205">
        <v>11</v>
      </c>
      <c r="C205" t="s">
        <v>52</v>
      </c>
      <c r="D205" t="s">
        <v>64</v>
      </c>
      <c r="E205" t="s">
        <v>65</v>
      </c>
      <c r="F205" t="s">
        <v>18</v>
      </c>
      <c r="G205" t="s">
        <v>72</v>
      </c>
      <c r="H205" t="s">
        <v>20</v>
      </c>
      <c r="I205" t="s">
        <v>78</v>
      </c>
      <c r="J205" t="s">
        <v>22</v>
      </c>
      <c r="K205" t="s">
        <v>26</v>
      </c>
      <c r="L205">
        <v>3</v>
      </c>
      <c r="M205">
        <v>1</v>
      </c>
      <c r="N205" t="s">
        <v>36</v>
      </c>
      <c r="O205" t="s">
        <v>49</v>
      </c>
      <c r="P205" t="s">
        <v>43</v>
      </c>
      <c r="Q205">
        <v>6915</v>
      </c>
    </row>
    <row r="206" spans="1:19" x14ac:dyDescent="0.35">
      <c r="A206" t="s">
        <v>81</v>
      </c>
      <c r="B206">
        <v>3</v>
      </c>
      <c r="C206" t="s">
        <v>52</v>
      </c>
      <c r="D206" t="s">
        <v>64</v>
      </c>
      <c r="E206" t="s">
        <v>65</v>
      </c>
      <c r="F206" t="s">
        <v>53</v>
      </c>
      <c r="G206" t="s">
        <v>19</v>
      </c>
      <c r="H206" t="s">
        <v>55</v>
      </c>
      <c r="I206" t="s">
        <v>66</v>
      </c>
      <c r="J206" t="s">
        <v>41</v>
      </c>
      <c r="K206" t="s">
        <v>26</v>
      </c>
      <c r="L206">
        <v>3</v>
      </c>
      <c r="M206">
        <v>1</v>
      </c>
      <c r="N206" t="s">
        <v>28</v>
      </c>
      <c r="O206" t="s">
        <v>28</v>
      </c>
      <c r="P206" t="s">
        <v>25</v>
      </c>
      <c r="Q206">
        <v>32161</v>
      </c>
    </row>
    <row r="207" spans="1:19" x14ac:dyDescent="0.35">
      <c r="A207" t="s">
        <v>81</v>
      </c>
      <c r="B207">
        <v>11</v>
      </c>
      <c r="C207" t="s">
        <v>52</v>
      </c>
      <c r="D207" t="s">
        <v>64</v>
      </c>
      <c r="E207" t="s">
        <v>65</v>
      </c>
      <c r="F207" t="s">
        <v>53</v>
      </c>
      <c r="G207" t="s">
        <v>19</v>
      </c>
      <c r="H207" t="s">
        <v>55</v>
      </c>
      <c r="I207" t="s">
        <v>66</v>
      </c>
      <c r="J207" t="s">
        <v>41</v>
      </c>
      <c r="K207" t="s">
        <v>26</v>
      </c>
      <c r="L207">
        <v>3</v>
      </c>
      <c r="M207">
        <v>1</v>
      </c>
      <c r="N207" t="s">
        <v>36</v>
      </c>
      <c r="O207" t="s">
        <v>36</v>
      </c>
      <c r="P207" t="s">
        <v>25</v>
      </c>
      <c r="Q207">
        <v>23433</v>
      </c>
    </row>
    <row r="208" spans="1:19" x14ac:dyDescent="0.35">
      <c r="A208" t="s">
        <v>84</v>
      </c>
      <c r="B208">
        <v>3</v>
      </c>
      <c r="C208" t="s">
        <v>15</v>
      </c>
      <c r="D208" t="s">
        <v>64</v>
      </c>
      <c r="E208" t="s">
        <v>65</v>
      </c>
      <c r="F208" t="s">
        <v>53</v>
      </c>
      <c r="G208" t="s">
        <v>82</v>
      </c>
      <c r="H208" t="s">
        <v>20</v>
      </c>
      <c r="I208" t="s">
        <v>83</v>
      </c>
      <c r="J208" t="s">
        <v>61</v>
      </c>
      <c r="K208" t="s">
        <v>26</v>
      </c>
      <c r="L208">
        <v>3</v>
      </c>
      <c r="M208">
        <v>1</v>
      </c>
      <c r="N208" t="s">
        <v>28</v>
      </c>
      <c r="O208" t="s">
        <v>28</v>
      </c>
      <c r="P208" t="s">
        <v>25</v>
      </c>
      <c r="Q208">
        <v>18240</v>
      </c>
    </row>
    <row r="209" spans="1:17" x14ac:dyDescent="0.35">
      <c r="A209" t="s">
        <v>84</v>
      </c>
      <c r="B209">
        <v>11</v>
      </c>
      <c r="C209" t="s">
        <v>15</v>
      </c>
      <c r="D209" t="s">
        <v>64</v>
      </c>
      <c r="E209" t="s">
        <v>65</v>
      </c>
      <c r="F209" t="s">
        <v>53</v>
      </c>
      <c r="G209" t="s">
        <v>82</v>
      </c>
      <c r="H209" t="s">
        <v>20</v>
      </c>
      <c r="I209" t="s">
        <v>83</v>
      </c>
      <c r="J209" t="s">
        <v>61</v>
      </c>
      <c r="K209" t="s">
        <v>26</v>
      </c>
      <c r="L209">
        <v>3</v>
      </c>
      <c r="M209">
        <v>1</v>
      </c>
      <c r="N209" t="s">
        <v>36</v>
      </c>
      <c r="O209" t="s">
        <v>36</v>
      </c>
      <c r="P209" t="s">
        <v>25</v>
      </c>
      <c r="Q209">
        <v>15327</v>
      </c>
    </row>
    <row r="210" spans="1:17" x14ac:dyDescent="0.35">
      <c r="A210" t="s">
        <v>87</v>
      </c>
      <c r="B210">
        <v>3</v>
      </c>
      <c r="C210" t="s">
        <v>52</v>
      </c>
      <c r="D210" t="s">
        <v>64</v>
      </c>
      <c r="E210" t="s">
        <v>65</v>
      </c>
      <c r="F210" t="s">
        <v>85</v>
      </c>
      <c r="G210" t="s">
        <v>54</v>
      </c>
      <c r="H210" t="s">
        <v>55</v>
      </c>
      <c r="I210" t="s">
        <v>21</v>
      </c>
      <c r="J210" t="s">
        <v>41</v>
      </c>
      <c r="K210" t="s">
        <v>26</v>
      </c>
      <c r="L210">
        <v>3</v>
      </c>
      <c r="M210">
        <v>1</v>
      </c>
      <c r="N210" t="s">
        <v>28</v>
      </c>
      <c r="O210" t="s">
        <v>28</v>
      </c>
      <c r="P210" t="s">
        <v>25</v>
      </c>
      <c r="Q210">
        <v>28574</v>
      </c>
    </row>
    <row r="211" spans="1:17" x14ac:dyDescent="0.35">
      <c r="A211" t="s">
        <v>87</v>
      </c>
      <c r="B211">
        <v>11</v>
      </c>
      <c r="C211" t="s">
        <v>52</v>
      </c>
      <c r="D211" t="s">
        <v>64</v>
      </c>
      <c r="E211" t="s">
        <v>65</v>
      </c>
      <c r="F211" t="s">
        <v>85</v>
      </c>
      <c r="G211" t="s">
        <v>54</v>
      </c>
      <c r="H211" t="s">
        <v>55</v>
      </c>
      <c r="I211" t="s">
        <v>21</v>
      </c>
      <c r="J211" t="s">
        <v>41</v>
      </c>
      <c r="K211" t="s">
        <v>26</v>
      </c>
      <c r="L211">
        <v>3</v>
      </c>
      <c r="M211">
        <v>1</v>
      </c>
      <c r="N211" t="s">
        <v>36</v>
      </c>
      <c r="O211" t="s">
        <v>36</v>
      </c>
      <c r="P211" t="s">
        <v>25</v>
      </c>
      <c r="Q211">
        <v>24074</v>
      </c>
    </row>
    <row r="212" spans="1:17" x14ac:dyDescent="0.35">
      <c r="A212" t="s">
        <v>90</v>
      </c>
      <c r="B212">
        <v>3</v>
      </c>
      <c r="C212" t="s">
        <v>40</v>
      </c>
      <c r="D212" t="s">
        <v>64</v>
      </c>
      <c r="E212" t="s">
        <v>65</v>
      </c>
      <c r="F212" t="s">
        <v>18</v>
      </c>
      <c r="G212" t="s">
        <v>19</v>
      </c>
      <c r="H212" t="s">
        <v>88</v>
      </c>
      <c r="I212" t="s">
        <v>89</v>
      </c>
      <c r="J212" t="s">
        <v>41</v>
      </c>
      <c r="K212" t="s">
        <v>26</v>
      </c>
      <c r="L212">
        <v>3</v>
      </c>
      <c r="M212">
        <v>1</v>
      </c>
      <c r="N212" t="s">
        <v>28</v>
      </c>
      <c r="O212" t="s">
        <v>28</v>
      </c>
      <c r="P212" t="s">
        <v>25</v>
      </c>
      <c r="Q212">
        <v>10886</v>
      </c>
    </row>
    <row r="213" spans="1:17" x14ac:dyDescent="0.35">
      <c r="A213" t="s">
        <v>90</v>
      </c>
      <c r="B213">
        <v>11</v>
      </c>
      <c r="C213" t="s">
        <v>40</v>
      </c>
      <c r="D213" t="s">
        <v>64</v>
      </c>
      <c r="E213" t="s">
        <v>65</v>
      </c>
      <c r="F213" t="s">
        <v>18</v>
      </c>
      <c r="G213" t="s">
        <v>19</v>
      </c>
      <c r="H213" t="s">
        <v>88</v>
      </c>
      <c r="I213" t="s">
        <v>89</v>
      </c>
      <c r="J213" t="s">
        <v>41</v>
      </c>
      <c r="K213" t="s">
        <v>26</v>
      </c>
      <c r="L213">
        <v>3</v>
      </c>
      <c r="M213">
        <v>1</v>
      </c>
      <c r="N213" t="s">
        <v>36</v>
      </c>
      <c r="O213" t="s">
        <v>49</v>
      </c>
      <c r="P213" t="s">
        <v>43</v>
      </c>
      <c r="Q213">
        <v>13703</v>
      </c>
    </row>
    <row r="214" spans="1:17" x14ac:dyDescent="0.35">
      <c r="A214" t="s">
        <v>91</v>
      </c>
      <c r="B214">
        <v>3</v>
      </c>
      <c r="C214" t="s">
        <v>15</v>
      </c>
      <c r="D214" t="s">
        <v>64</v>
      </c>
      <c r="E214" t="s">
        <v>65</v>
      </c>
      <c r="F214" t="s">
        <v>18</v>
      </c>
      <c r="G214" t="s">
        <v>68</v>
      </c>
      <c r="H214" t="s">
        <v>20</v>
      </c>
      <c r="I214" t="s">
        <v>66</v>
      </c>
      <c r="J214" t="s">
        <v>41</v>
      </c>
      <c r="K214" t="s">
        <v>26</v>
      </c>
      <c r="L214">
        <v>3</v>
      </c>
      <c r="M214">
        <v>1</v>
      </c>
      <c r="N214" t="s">
        <v>28</v>
      </c>
      <c r="O214" t="s">
        <v>28</v>
      </c>
      <c r="P214" t="s">
        <v>25</v>
      </c>
      <c r="Q214">
        <v>23110</v>
      </c>
    </row>
    <row r="215" spans="1:17" x14ac:dyDescent="0.35">
      <c r="A215" t="s">
        <v>91</v>
      </c>
      <c r="B215">
        <v>11</v>
      </c>
      <c r="C215" t="s">
        <v>15</v>
      </c>
      <c r="D215" t="s">
        <v>64</v>
      </c>
      <c r="E215" t="s">
        <v>65</v>
      </c>
      <c r="F215" t="s">
        <v>18</v>
      </c>
      <c r="G215" t="s">
        <v>68</v>
      </c>
      <c r="H215" t="s">
        <v>20</v>
      </c>
      <c r="I215" t="s">
        <v>66</v>
      </c>
      <c r="J215" t="s">
        <v>41</v>
      </c>
      <c r="K215" t="s">
        <v>26</v>
      </c>
      <c r="L215">
        <v>3</v>
      </c>
      <c r="M215">
        <v>1</v>
      </c>
      <c r="N215" t="s">
        <v>36</v>
      </c>
      <c r="O215" t="s">
        <v>36</v>
      </c>
      <c r="P215" t="s">
        <v>25</v>
      </c>
      <c r="Q215">
        <v>6212</v>
      </c>
    </row>
    <row r="216" spans="1:17" x14ac:dyDescent="0.35">
      <c r="A216" t="s">
        <v>92</v>
      </c>
      <c r="B216">
        <v>3</v>
      </c>
      <c r="C216" t="s">
        <v>40</v>
      </c>
      <c r="D216" t="s">
        <v>64</v>
      </c>
      <c r="E216" t="s">
        <v>65</v>
      </c>
      <c r="F216" t="s">
        <v>18</v>
      </c>
      <c r="G216" t="s">
        <v>54</v>
      </c>
      <c r="H216" t="s">
        <v>55</v>
      </c>
      <c r="I216" t="s">
        <v>78</v>
      </c>
      <c r="J216" t="s">
        <v>41</v>
      </c>
      <c r="K216" t="s">
        <v>26</v>
      </c>
      <c r="L216">
        <v>3</v>
      </c>
      <c r="M216">
        <v>1</v>
      </c>
      <c r="N216" t="s">
        <v>28</v>
      </c>
      <c r="O216" t="s">
        <v>28</v>
      </c>
      <c r="P216" t="s">
        <v>25</v>
      </c>
      <c r="Q216">
        <v>10415</v>
      </c>
    </row>
    <row r="217" spans="1:17" x14ac:dyDescent="0.35">
      <c r="A217" t="s">
        <v>92</v>
      </c>
      <c r="B217">
        <v>11</v>
      </c>
      <c r="C217" t="s">
        <v>40</v>
      </c>
      <c r="D217" t="s">
        <v>64</v>
      </c>
      <c r="E217" t="s">
        <v>65</v>
      </c>
      <c r="F217" t="s">
        <v>18</v>
      </c>
      <c r="G217" t="s">
        <v>54</v>
      </c>
      <c r="H217" t="s">
        <v>55</v>
      </c>
      <c r="I217" t="s">
        <v>78</v>
      </c>
      <c r="J217" t="s">
        <v>41</v>
      </c>
      <c r="K217" t="s">
        <v>26</v>
      </c>
      <c r="L217">
        <v>3</v>
      </c>
      <c r="M217">
        <v>1</v>
      </c>
      <c r="N217" t="s">
        <v>36</v>
      </c>
      <c r="O217" t="s">
        <v>36</v>
      </c>
      <c r="P217" t="s">
        <v>25</v>
      </c>
      <c r="Q217">
        <v>11690</v>
      </c>
    </row>
    <row r="218" spans="1:17" x14ac:dyDescent="0.35">
      <c r="A218" t="s">
        <v>94</v>
      </c>
      <c r="B218">
        <v>3</v>
      </c>
      <c r="C218" t="s">
        <v>40</v>
      </c>
      <c r="D218" t="s">
        <v>16</v>
      </c>
      <c r="E218" t="s">
        <v>17</v>
      </c>
      <c r="F218" t="s">
        <v>53</v>
      </c>
      <c r="G218" t="s">
        <v>54</v>
      </c>
      <c r="H218" t="s">
        <v>20</v>
      </c>
      <c r="I218" t="s">
        <v>21</v>
      </c>
      <c r="J218" t="s">
        <v>41</v>
      </c>
      <c r="K218" t="s">
        <v>26</v>
      </c>
      <c r="L218">
        <v>3</v>
      </c>
      <c r="M218">
        <v>1</v>
      </c>
      <c r="N218" t="s">
        <v>28</v>
      </c>
      <c r="O218" t="s">
        <v>28</v>
      </c>
      <c r="P218" t="s">
        <v>25</v>
      </c>
      <c r="Q218">
        <v>17263</v>
      </c>
    </row>
    <row r="219" spans="1:17" x14ac:dyDescent="0.35">
      <c r="A219" t="s">
        <v>94</v>
      </c>
      <c r="B219">
        <v>11</v>
      </c>
      <c r="C219" t="s">
        <v>40</v>
      </c>
      <c r="D219" t="s">
        <v>16</v>
      </c>
      <c r="E219" t="s">
        <v>17</v>
      </c>
      <c r="F219" t="s">
        <v>53</v>
      </c>
      <c r="G219" t="s">
        <v>54</v>
      </c>
      <c r="H219" t="s">
        <v>20</v>
      </c>
      <c r="I219" t="s">
        <v>21</v>
      </c>
      <c r="J219" t="s">
        <v>41</v>
      </c>
      <c r="K219" t="s">
        <v>26</v>
      </c>
      <c r="L219">
        <v>3</v>
      </c>
      <c r="M219">
        <v>1</v>
      </c>
      <c r="N219" t="s">
        <v>36</v>
      </c>
      <c r="O219" t="s">
        <v>36</v>
      </c>
      <c r="P219" t="s">
        <v>25</v>
      </c>
      <c r="Q219">
        <v>15337</v>
      </c>
    </row>
    <row r="220" spans="1:17" x14ac:dyDescent="0.35">
      <c r="A220" t="s">
        <v>101</v>
      </c>
      <c r="B220">
        <v>3</v>
      </c>
      <c r="C220" t="s">
        <v>15</v>
      </c>
      <c r="D220" t="s">
        <v>64</v>
      </c>
      <c r="E220" t="s">
        <v>65</v>
      </c>
      <c r="F220" t="s">
        <v>53</v>
      </c>
      <c r="G220" t="s">
        <v>82</v>
      </c>
      <c r="H220" t="s">
        <v>55</v>
      </c>
      <c r="I220" t="s">
        <v>83</v>
      </c>
      <c r="J220" t="s">
        <v>22</v>
      </c>
      <c r="K220" t="s">
        <v>26</v>
      </c>
      <c r="L220">
        <v>3</v>
      </c>
      <c r="M220">
        <v>1</v>
      </c>
      <c r="N220" t="s">
        <v>28</v>
      </c>
      <c r="O220" t="s">
        <v>28</v>
      </c>
      <c r="P220" t="s">
        <v>25</v>
      </c>
      <c r="Q220">
        <v>14114</v>
      </c>
    </row>
    <row r="221" spans="1:17" x14ac:dyDescent="0.35">
      <c r="A221" t="s">
        <v>101</v>
      </c>
      <c r="B221">
        <v>11</v>
      </c>
      <c r="C221" t="s">
        <v>15</v>
      </c>
      <c r="D221" t="s">
        <v>64</v>
      </c>
      <c r="E221" t="s">
        <v>65</v>
      </c>
      <c r="F221" t="s">
        <v>53</v>
      </c>
      <c r="G221" t="s">
        <v>82</v>
      </c>
      <c r="H221" t="s">
        <v>55</v>
      </c>
      <c r="I221" t="s">
        <v>83</v>
      </c>
      <c r="J221" t="s">
        <v>22</v>
      </c>
      <c r="K221" t="s">
        <v>26</v>
      </c>
      <c r="L221">
        <v>3</v>
      </c>
      <c r="M221">
        <v>1</v>
      </c>
      <c r="N221" t="s">
        <v>36</v>
      </c>
      <c r="O221" t="s">
        <v>36</v>
      </c>
      <c r="P221" t="s">
        <v>25</v>
      </c>
      <c r="Q221">
        <v>10182</v>
      </c>
    </row>
    <row r="222" spans="1:17" x14ac:dyDescent="0.35">
      <c r="A222" t="s">
        <v>39</v>
      </c>
      <c r="B222">
        <v>2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26</v>
      </c>
      <c r="L222">
        <v>5</v>
      </c>
      <c r="M222">
        <v>1</v>
      </c>
      <c r="N222" t="s">
        <v>27</v>
      </c>
      <c r="O222" t="s">
        <v>27</v>
      </c>
      <c r="P222" t="s">
        <v>25</v>
      </c>
      <c r="Q222">
        <v>29205</v>
      </c>
    </row>
    <row r="223" spans="1:17" x14ac:dyDescent="0.35">
      <c r="A223" t="s">
        <v>39</v>
      </c>
      <c r="B223">
        <v>5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26</v>
      </c>
      <c r="L223">
        <v>5</v>
      </c>
      <c r="M223">
        <v>1</v>
      </c>
      <c r="N223" t="s">
        <v>30</v>
      </c>
      <c r="O223" t="s">
        <v>30</v>
      </c>
      <c r="P223" t="s">
        <v>25</v>
      </c>
      <c r="Q223">
        <v>29246</v>
      </c>
    </row>
    <row r="224" spans="1:17" x14ac:dyDescent="0.35">
      <c r="A224" t="s">
        <v>51</v>
      </c>
      <c r="B224">
        <v>2</v>
      </c>
      <c r="C224" t="s">
        <v>40</v>
      </c>
      <c r="D224" t="s">
        <v>16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41</v>
      </c>
      <c r="K224" t="s">
        <v>26</v>
      </c>
      <c r="L224">
        <v>5</v>
      </c>
      <c r="M224">
        <v>1</v>
      </c>
      <c r="N224" t="s">
        <v>27</v>
      </c>
      <c r="O224" t="s">
        <v>44</v>
      </c>
      <c r="P224" t="s">
        <v>43</v>
      </c>
      <c r="Q224">
        <v>7672</v>
      </c>
    </row>
    <row r="225" spans="1:17" x14ac:dyDescent="0.35">
      <c r="A225" t="s">
        <v>51</v>
      </c>
      <c r="B225">
        <v>5</v>
      </c>
      <c r="C225" t="s">
        <v>40</v>
      </c>
      <c r="D225" t="s">
        <v>16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41</v>
      </c>
      <c r="K225" t="s">
        <v>26</v>
      </c>
      <c r="L225">
        <v>5</v>
      </c>
      <c r="M225">
        <v>1</v>
      </c>
      <c r="N225" t="s">
        <v>30</v>
      </c>
      <c r="O225" t="s">
        <v>46</v>
      </c>
      <c r="P225" t="s">
        <v>43</v>
      </c>
      <c r="Q225">
        <v>7836</v>
      </c>
    </row>
    <row r="226" spans="1:17" x14ac:dyDescent="0.35">
      <c r="A226" t="s">
        <v>58</v>
      </c>
      <c r="B226">
        <v>2</v>
      </c>
      <c r="C226" t="s">
        <v>52</v>
      </c>
      <c r="D226" t="s">
        <v>16</v>
      </c>
      <c r="E226" t="s">
        <v>17</v>
      </c>
      <c r="F226" t="s">
        <v>53</v>
      </c>
      <c r="G226" t="s">
        <v>54</v>
      </c>
      <c r="H226" t="s">
        <v>55</v>
      </c>
      <c r="I226" t="s">
        <v>56</v>
      </c>
      <c r="J226" t="s">
        <v>22</v>
      </c>
      <c r="K226" t="s">
        <v>26</v>
      </c>
      <c r="L226">
        <v>5</v>
      </c>
      <c r="M226">
        <v>1</v>
      </c>
      <c r="N226" t="s">
        <v>27</v>
      </c>
      <c r="O226" t="s">
        <v>57</v>
      </c>
      <c r="P226" t="s">
        <v>43</v>
      </c>
      <c r="Q226">
        <v>30320</v>
      </c>
    </row>
    <row r="227" spans="1:17" x14ac:dyDescent="0.35">
      <c r="A227" t="s">
        <v>58</v>
      </c>
      <c r="B227">
        <v>5</v>
      </c>
      <c r="C227" t="s">
        <v>52</v>
      </c>
      <c r="D227" t="s">
        <v>16</v>
      </c>
      <c r="E227" t="s">
        <v>17</v>
      </c>
      <c r="F227" t="s">
        <v>53</v>
      </c>
      <c r="G227" t="s">
        <v>54</v>
      </c>
      <c r="H227" t="s">
        <v>55</v>
      </c>
      <c r="I227" t="s">
        <v>56</v>
      </c>
      <c r="J227" t="s">
        <v>22</v>
      </c>
      <c r="K227" t="s">
        <v>26</v>
      </c>
      <c r="L227">
        <v>5</v>
      </c>
      <c r="M227">
        <v>1</v>
      </c>
      <c r="N227" t="s">
        <v>30</v>
      </c>
      <c r="O227" t="s">
        <v>30</v>
      </c>
      <c r="P227" t="s">
        <v>25</v>
      </c>
      <c r="Q227">
        <v>18294</v>
      </c>
    </row>
    <row r="228" spans="1:17" x14ac:dyDescent="0.35">
      <c r="A228" t="s">
        <v>60</v>
      </c>
      <c r="B228">
        <v>2</v>
      </c>
      <c r="C228" t="s">
        <v>59</v>
      </c>
      <c r="D228" t="s">
        <v>16</v>
      </c>
      <c r="E228" t="s">
        <v>17</v>
      </c>
      <c r="F228" t="s">
        <v>18</v>
      </c>
      <c r="G228" t="s">
        <v>54</v>
      </c>
      <c r="H228" t="s">
        <v>55</v>
      </c>
      <c r="I228" t="s">
        <v>21</v>
      </c>
      <c r="J228" t="s">
        <v>22</v>
      </c>
      <c r="K228" t="s">
        <v>26</v>
      </c>
      <c r="L228">
        <v>5</v>
      </c>
      <c r="M228">
        <v>1</v>
      </c>
      <c r="N228" t="s">
        <v>27</v>
      </c>
      <c r="O228" t="s">
        <v>27</v>
      </c>
      <c r="P228" t="s">
        <v>25</v>
      </c>
      <c r="Q228">
        <v>21373</v>
      </c>
    </row>
    <row r="229" spans="1:17" x14ac:dyDescent="0.35">
      <c r="A229" t="s">
        <v>60</v>
      </c>
      <c r="B229">
        <v>5</v>
      </c>
      <c r="C229" t="s">
        <v>59</v>
      </c>
      <c r="D229" t="s">
        <v>16</v>
      </c>
      <c r="E229" t="s">
        <v>17</v>
      </c>
      <c r="F229" t="s">
        <v>18</v>
      </c>
      <c r="G229" t="s">
        <v>54</v>
      </c>
      <c r="H229" t="s">
        <v>55</v>
      </c>
      <c r="I229" t="s">
        <v>21</v>
      </c>
      <c r="J229" t="s">
        <v>22</v>
      </c>
      <c r="K229" t="s">
        <v>26</v>
      </c>
      <c r="L229">
        <v>5</v>
      </c>
      <c r="M229">
        <v>1</v>
      </c>
      <c r="N229" t="s">
        <v>30</v>
      </c>
      <c r="O229" t="s">
        <v>30</v>
      </c>
      <c r="P229" t="s">
        <v>25</v>
      </c>
      <c r="Q229">
        <v>21126</v>
      </c>
    </row>
    <row r="230" spans="1:17" x14ac:dyDescent="0.35">
      <c r="A230" t="s">
        <v>62</v>
      </c>
      <c r="B230">
        <v>2</v>
      </c>
      <c r="C230" t="s">
        <v>15</v>
      </c>
      <c r="D230" t="s">
        <v>16</v>
      </c>
      <c r="E230" t="s">
        <v>17</v>
      </c>
      <c r="F230" t="s">
        <v>53</v>
      </c>
      <c r="G230" t="s">
        <v>72</v>
      </c>
      <c r="H230" t="s">
        <v>20</v>
      </c>
      <c r="I230" t="s">
        <v>21</v>
      </c>
      <c r="J230" t="s">
        <v>41</v>
      </c>
      <c r="K230" t="s">
        <v>26</v>
      </c>
      <c r="L230">
        <v>5</v>
      </c>
      <c r="M230">
        <v>1</v>
      </c>
      <c r="N230" t="s">
        <v>27</v>
      </c>
      <c r="O230" t="s">
        <v>57</v>
      </c>
      <c r="P230" t="s">
        <v>43</v>
      </c>
      <c r="Q230">
        <v>32145</v>
      </c>
    </row>
    <row r="231" spans="1:17" x14ac:dyDescent="0.35">
      <c r="A231" t="s">
        <v>62</v>
      </c>
      <c r="B231">
        <v>5</v>
      </c>
      <c r="C231" t="s">
        <v>15</v>
      </c>
      <c r="D231" t="s">
        <v>16</v>
      </c>
      <c r="E231" t="s">
        <v>17</v>
      </c>
      <c r="F231" t="s">
        <v>53</v>
      </c>
      <c r="G231" t="s">
        <v>72</v>
      </c>
      <c r="H231" t="s">
        <v>20</v>
      </c>
      <c r="I231" t="s">
        <v>21</v>
      </c>
      <c r="J231" t="s">
        <v>41</v>
      </c>
      <c r="K231" t="s">
        <v>26</v>
      </c>
      <c r="L231">
        <v>5</v>
      </c>
      <c r="M231">
        <v>1</v>
      </c>
      <c r="N231" t="s">
        <v>30</v>
      </c>
      <c r="O231" t="s">
        <v>30</v>
      </c>
      <c r="P231" t="s">
        <v>25</v>
      </c>
      <c r="Q231">
        <v>21425</v>
      </c>
    </row>
    <row r="232" spans="1:17" x14ac:dyDescent="0.35">
      <c r="A232" t="s">
        <v>63</v>
      </c>
      <c r="B232">
        <v>2</v>
      </c>
      <c r="C232" t="s">
        <v>52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  <c r="I232" t="s">
        <v>56</v>
      </c>
      <c r="J232" t="s">
        <v>61</v>
      </c>
      <c r="K232" t="s">
        <v>26</v>
      </c>
      <c r="L232">
        <v>5</v>
      </c>
      <c r="M232">
        <v>1</v>
      </c>
      <c r="N232" t="s">
        <v>27</v>
      </c>
      <c r="O232" t="s">
        <v>27</v>
      </c>
      <c r="P232" t="s">
        <v>25</v>
      </c>
      <c r="Q232">
        <v>15187</v>
      </c>
    </row>
    <row r="233" spans="1:17" x14ac:dyDescent="0.35">
      <c r="A233" t="s">
        <v>63</v>
      </c>
      <c r="B233">
        <v>5</v>
      </c>
      <c r="C233" t="s">
        <v>52</v>
      </c>
      <c r="D233" t="s">
        <v>16</v>
      </c>
      <c r="E233" t="s">
        <v>17</v>
      </c>
      <c r="F233" t="s">
        <v>18</v>
      </c>
      <c r="G233" t="s">
        <v>19</v>
      </c>
      <c r="H233" t="s">
        <v>20</v>
      </c>
      <c r="I233" t="s">
        <v>56</v>
      </c>
      <c r="J233" t="s">
        <v>61</v>
      </c>
      <c r="K233" t="s">
        <v>26</v>
      </c>
      <c r="L233">
        <v>5</v>
      </c>
      <c r="M233">
        <v>1</v>
      </c>
      <c r="N233" t="s">
        <v>30</v>
      </c>
      <c r="O233" t="s">
        <v>30</v>
      </c>
      <c r="P233" t="s">
        <v>25</v>
      </c>
      <c r="Q233">
        <v>12479</v>
      </c>
    </row>
    <row r="234" spans="1:17" x14ac:dyDescent="0.35">
      <c r="A234" t="s">
        <v>71</v>
      </c>
      <c r="B234">
        <v>2</v>
      </c>
      <c r="C234" t="s">
        <v>15</v>
      </c>
      <c r="D234" t="s">
        <v>16</v>
      </c>
      <c r="E234" t="s">
        <v>17</v>
      </c>
      <c r="F234" t="s">
        <v>53</v>
      </c>
      <c r="G234" t="s">
        <v>54</v>
      </c>
      <c r="H234" t="s">
        <v>20</v>
      </c>
      <c r="I234" t="s">
        <v>21</v>
      </c>
      <c r="J234" t="s">
        <v>41</v>
      </c>
      <c r="K234" t="s">
        <v>26</v>
      </c>
      <c r="L234">
        <v>5</v>
      </c>
      <c r="M234">
        <v>1</v>
      </c>
      <c r="N234" t="s">
        <v>27</v>
      </c>
      <c r="O234" t="s">
        <v>27</v>
      </c>
      <c r="P234" t="s">
        <v>25</v>
      </c>
      <c r="Q234">
        <v>10390</v>
      </c>
    </row>
    <row r="235" spans="1:17" x14ac:dyDescent="0.35">
      <c r="A235" t="s">
        <v>71</v>
      </c>
      <c r="B235">
        <v>5</v>
      </c>
      <c r="C235" t="s">
        <v>15</v>
      </c>
      <c r="D235" t="s">
        <v>16</v>
      </c>
      <c r="E235" t="s">
        <v>17</v>
      </c>
      <c r="F235" t="s">
        <v>53</v>
      </c>
      <c r="G235" t="s">
        <v>54</v>
      </c>
      <c r="H235" t="s">
        <v>20</v>
      </c>
      <c r="I235" t="s">
        <v>21</v>
      </c>
      <c r="J235" t="s">
        <v>41</v>
      </c>
      <c r="K235" t="s">
        <v>26</v>
      </c>
      <c r="L235">
        <v>5</v>
      </c>
      <c r="M235">
        <v>1</v>
      </c>
      <c r="N235" t="s">
        <v>30</v>
      </c>
      <c r="O235" t="s">
        <v>30</v>
      </c>
      <c r="P235" t="s">
        <v>25</v>
      </c>
      <c r="Q235">
        <v>10417</v>
      </c>
    </row>
    <row r="236" spans="1:17" x14ac:dyDescent="0.35">
      <c r="A236" t="s">
        <v>69</v>
      </c>
      <c r="B236">
        <v>2</v>
      </c>
      <c r="C236" t="s">
        <v>40</v>
      </c>
      <c r="D236" t="s">
        <v>64</v>
      </c>
      <c r="E236" t="s">
        <v>65</v>
      </c>
      <c r="F236" t="s">
        <v>53</v>
      </c>
      <c r="G236" t="s">
        <v>54</v>
      </c>
      <c r="H236" t="s">
        <v>20</v>
      </c>
      <c r="I236" t="s">
        <v>66</v>
      </c>
      <c r="J236" t="s">
        <v>41</v>
      </c>
      <c r="K236" t="s">
        <v>26</v>
      </c>
      <c r="L236">
        <v>5</v>
      </c>
      <c r="M236">
        <v>1</v>
      </c>
      <c r="N236" t="s">
        <v>27</v>
      </c>
      <c r="O236" t="s">
        <v>67</v>
      </c>
      <c r="P236" t="s">
        <v>43</v>
      </c>
      <c r="Q236">
        <v>27488</v>
      </c>
    </row>
    <row r="237" spans="1:17" x14ac:dyDescent="0.35">
      <c r="A237" t="s">
        <v>69</v>
      </c>
      <c r="B237">
        <v>5</v>
      </c>
      <c r="C237" t="s">
        <v>40</v>
      </c>
      <c r="D237" t="s">
        <v>64</v>
      </c>
      <c r="E237" t="s">
        <v>65</v>
      </c>
      <c r="F237" t="s">
        <v>53</v>
      </c>
      <c r="G237" t="s">
        <v>54</v>
      </c>
      <c r="H237" t="s">
        <v>20</v>
      </c>
      <c r="I237" t="s">
        <v>66</v>
      </c>
      <c r="J237" t="s">
        <v>41</v>
      </c>
      <c r="K237" t="s">
        <v>26</v>
      </c>
      <c r="L237">
        <v>5</v>
      </c>
      <c r="M237">
        <v>1</v>
      </c>
      <c r="N237" t="s">
        <v>30</v>
      </c>
      <c r="O237" t="s">
        <v>30</v>
      </c>
      <c r="P237" t="s">
        <v>25</v>
      </c>
      <c r="Q237">
        <v>23167</v>
      </c>
    </row>
    <row r="238" spans="1:17" x14ac:dyDescent="0.35">
      <c r="A238" t="s">
        <v>70</v>
      </c>
      <c r="B238">
        <v>2</v>
      </c>
      <c r="C238" t="s">
        <v>52</v>
      </c>
      <c r="D238" t="s">
        <v>64</v>
      </c>
      <c r="E238" t="s">
        <v>65</v>
      </c>
      <c r="F238" t="s">
        <v>53</v>
      </c>
      <c r="G238" t="s">
        <v>68</v>
      </c>
      <c r="H238" t="s">
        <v>20</v>
      </c>
      <c r="I238" t="s">
        <v>21</v>
      </c>
      <c r="J238" t="s">
        <v>41</v>
      </c>
      <c r="K238" t="s">
        <v>26</v>
      </c>
      <c r="L238">
        <v>5</v>
      </c>
      <c r="M238">
        <v>1</v>
      </c>
      <c r="N238" t="s">
        <v>27</v>
      </c>
      <c r="O238" t="s">
        <v>27</v>
      </c>
      <c r="P238" t="s">
        <v>25</v>
      </c>
      <c r="Q238">
        <v>44213</v>
      </c>
    </row>
    <row r="239" spans="1:17" x14ac:dyDescent="0.35">
      <c r="A239" t="s">
        <v>70</v>
      </c>
      <c r="B239">
        <v>5</v>
      </c>
      <c r="C239" t="s">
        <v>52</v>
      </c>
      <c r="D239" t="s">
        <v>64</v>
      </c>
      <c r="E239" t="s">
        <v>65</v>
      </c>
      <c r="F239" t="s">
        <v>53</v>
      </c>
      <c r="G239" t="s">
        <v>68</v>
      </c>
      <c r="H239" t="s">
        <v>20</v>
      </c>
      <c r="I239" t="s">
        <v>21</v>
      </c>
      <c r="J239" t="s">
        <v>41</v>
      </c>
      <c r="K239" t="s">
        <v>26</v>
      </c>
      <c r="L239">
        <v>5</v>
      </c>
      <c r="M239">
        <v>1</v>
      </c>
      <c r="N239" t="s">
        <v>30</v>
      </c>
      <c r="O239" t="s">
        <v>30</v>
      </c>
      <c r="P239" t="s">
        <v>25</v>
      </c>
      <c r="Q239">
        <v>24901</v>
      </c>
    </row>
    <row r="240" spans="1:17" x14ac:dyDescent="0.35">
      <c r="A240" t="s">
        <v>74</v>
      </c>
      <c r="B240">
        <v>2</v>
      </c>
      <c r="C240" t="s">
        <v>15</v>
      </c>
      <c r="D240" t="s">
        <v>16</v>
      </c>
      <c r="E240" t="s">
        <v>17</v>
      </c>
      <c r="F240" t="s">
        <v>18</v>
      </c>
      <c r="G240" t="s">
        <v>54</v>
      </c>
      <c r="H240" t="s">
        <v>20</v>
      </c>
      <c r="I240" t="s">
        <v>21</v>
      </c>
      <c r="J240" t="s">
        <v>41</v>
      </c>
      <c r="K240" t="s">
        <v>26</v>
      </c>
      <c r="L240">
        <v>5</v>
      </c>
      <c r="M240">
        <v>1</v>
      </c>
      <c r="N240" t="s">
        <v>27</v>
      </c>
      <c r="O240" t="s">
        <v>27</v>
      </c>
      <c r="P240" t="s">
        <v>25</v>
      </c>
      <c r="Q240">
        <v>17424</v>
      </c>
    </row>
    <row r="241" spans="1:19" x14ac:dyDescent="0.35">
      <c r="A241" t="s">
        <v>74</v>
      </c>
      <c r="B241">
        <v>5</v>
      </c>
      <c r="C241" t="s">
        <v>15</v>
      </c>
      <c r="D241" t="s">
        <v>16</v>
      </c>
      <c r="E241" t="s">
        <v>17</v>
      </c>
      <c r="F241" t="s">
        <v>18</v>
      </c>
      <c r="G241" t="s">
        <v>54</v>
      </c>
      <c r="H241" t="s">
        <v>20</v>
      </c>
      <c r="I241" t="s">
        <v>21</v>
      </c>
      <c r="J241" t="s">
        <v>41</v>
      </c>
      <c r="K241" t="s">
        <v>26</v>
      </c>
      <c r="L241">
        <v>5</v>
      </c>
      <c r="M241">
        <v>1</v>
      </c>
      <c r="N241" t="s">
        <v>30</v>
      </c>
      <c r="O241" t="s">
        <v>30</v>
      </c>
      <c r="P241" t="s">
        <v>25</v>
      </c>
      <c r="Q241">
        <v>19200</v>
      </c>
    </row>
    <row r="242" spans="1:19" x14ac:dyDescent="0.35">
      <c r="A242" t="s">
        <v>76</v>
      </c>
      <c r="B242">
        <v>2</v>
      </c>
      <c r="C242" t="s">
        <v>15</v>
      </c>
      <c r="D242" t="s">
        <v>16</v>
      </c>
      <c r="E242" t="s">
        <v>17</v>
      </c>
      <c r="F242" t="s">
        <v>18</v>
      </c>
      <c r="G242" t="s">
        <v>72</v>
      </c>
      <c r="H242" t="s">
        <v>20</v>
      </c>
      <c r="I242" t="s">
        <v>21</v>
      </c>
      <c r="J242" t="s">
        <v>22</v>
      </c>
      <c r="K242" t="s">
        <v>26</v>
      </c>
      <c r="L242">
        <v>5</v>
      </c>
      <c r="M242">
        <v>1</v>
      </c>
      <c r="N242" t="s">
        <v>27</v>
      </c>
      <c r="O242" t="s">
        <v>44</v>
      </c>
      <c r="P242" t="s">
        <v>43</v>
      </c>
      <c r="Q242">
        <v>10254</v>
      </c>
      <c r="R242" t="s">
        <v>93</v>
      </c>
      <c r="S242">
        <v>76448</v>
      </c>
    </row>
    <row r="243" spans="1:19" x14ac:dyDescent="0.35">
      <c r="A243" t="s">
        <v>76</v>
      </c>
      <c r="B243">
        <v>5</v>
      </c>
      <c r="C243" t="s">
        <v>15</v>
      </c>
      <c r="D243" t="s">
        <v>16</v>
      </c>
      <c r="E243" t="s">
        <v>17</v>
      </c>
      <c r="F243" t="s">
        <v>18</v>
      </c>
      <c r="G243" t="s">
        <v>72</v>
      </c>
      <c r="H243" t="s">
        <v>20</v>
      </c>
      <c r="I243" t="s">
        <v>21</v>
      </c>
      <c r="J243" t="s">
        <v>22</v>
      </c>
      <c r="K243" t="s">
        <v>26</v>
      </c>
      <c r="L243">
        <v>5</v>
      </c>
      <c r="M243">
        <v>1</v>
      </c>
      <c r="N243" t="s">
        <v>30</v>
      </c>
      <c r="O243" t="s">
        <v>46</v>
      </c>
      <c r="P243" t="s">
        <v>43</v>
      </c>
      <c r="Q243">
        <v>7457</v>
      </c>
    </row>
    <row r="244" spans="1:19" x14ac:dyDescent="0.35">
      <c r="A244" t="s">
        <v>77</v>
      </c>
      <c r="B244">
        <v>2</v>
      </c>
      <c r="C244" t="s">
        <v>15</v>
      </c>
      <c r="D244" t="s">
        <v>16</v>
      </c>
      <c r="E244" t="s">
        <v>17</v>
      </c>
      <c r="F244" t="s">
        <v>18</v>
      </c>
      <c r="G244" t="s">
        <v>54</v>
      </c>
      <c r="H244" t="s">
        <v>20</v>
      </c>
      <c r="I244" t="s">
        <v>21</v>
      </c>
      <c r="J244" t="s">
        <v>41</v>
      </c>
      <c r="K244" t="s">
        <v>26</v>
      </c>
      <c r="L244">
        <v>5</v>
      </c>
      <c r="M244">
        <v>1</v>
      </c>
      <c r="N244" t="s">
        <v>27</v>
      </c>
      <c r="O244" t="s">
        <v>44</v>
      </c>
      <c r="P244" t="s">
        <v>43</v>
      </c>
      <c r="Q244">
        <v>11555</v>
      </c>
    </row>
    <row r="245" spans="1:19" x14ac:dyDescent="0.35">
      <c r="A245" t="s">
        <v>77</v>
      </c>
      <c r="B245">
        <v>5</v>
      </c>
      <c r="C245" t="s">
        <v>15</v>
      </c>
      <c r="D245" t="s">
        <v>16</v>
      </c>
      <c r="E245" t="s">
        <v>17</v>
      </c>
      <c r="F245" t="s">
        <v>18</v>
      </c>
      <c r="G245" t="s">
        <v>54</v>
      </c>
      <c r="H245" t="s">
        <v>20</v>
      </c>
      <c r="I245" t="s">
        <v>21</v>
      </c>
      <c r="J245" t="s">
        <v>41</v>
      </c>
      <c r="K245" t="s">
        <v>26</v>
      </c>
      <c r="L245">
        <v>5</v>
      </c>
      <c r="M245">
        <v>1</v>
      </c>
      <c r="N245" t="s">
        <v>30</v>
      </c>
      <c r="O245" t="s">
        <v>46</v>
      </c>
      <c r="P245" t="s">
        <v>43</v>
      </c>
      <c r="Q245">
        <v>9105</v>
      </c>
    </row>
    <row r="246" spans="1:19" x14ac:dyDescent="0.35">
      <c r="A246" t="s">
        <v>79</v>
      </c>
      <c r="B246">
        <v>2</v>
      </c>
      <c r="C246" t="s">
        <v>40</v>
      </c>
      <c r="D246" t="s">
        <v>64</v>
      </c>
      <c r="E246" t="s">
        <v>17</v>
      </c>
      <c r="F246" t="s">
        <v>53</v>
      </c>
      <c r="G246" t="s">
        <v>72</v>
      </c>
      <c r="H246" t="s">
        <v>20</v>
      </c>
      <c r="I246" t="s">
        <v>78</v>
      </c>
      <c r="J246" t="s">
        <v>61</v>
      </c>
      <c r="K246" t="s">
        <v>26</v>
      </c>
      <c r="L246">
        <v>5</v>
      </c>
      <c r="M246">
        <v>1</v>
      </c>
      <c r="N246" t="s">
        <v>27</v>
      </c>
      <c r="O246" t="s">
        <v>27</v>
      </c>
      <c r="P246" t="s">
        <v>25</v>
      </c>
      <c r="Q246">
        <v>62433</v>
      </c>
    </row>
    <row r="247" spans="1:19" x14ac:dyDescent="0.35">
      <c r="A247" t="s">
        <v>79</v>
      </c>
      <c r="B247">
        <v>5</v>
      </c>
      <c r="C247" t="s">
        <v>40</v>
      </c>
      <c r="D247" t="s">
        <v>64</v>
      </c>
      <c r="E247" t="s">
        <v>17</v>
      </c>
      <c r="F247" t="s">
        <v>53</v>
      </c>
      <c r="G247" t="s">
        <v>72</v>
      </c>
      <c r="H247" t="s">
        <v>20</v>
      </c>
      <c r="I247" t="s">
        <v>78</v>
      </c>
      <c r="J247" t="s">
        <v>61</v>
      </c>
      <c r="K247" t="s">
        <v>26</v>
      </c>
      <c r="L247">
        <v>5</v>
      </c>
      <c r="M247">
        <v>1</v>
      </c>
      <c r="N247" t="s">
        <v>30</v>
      </c>
      <c r="O247" t="s">
        <v>30</v>
      </c>
      <c r="P247" t="s">
        <v>25</v>
      </c>
      <c r="Q247">
        <v>15504</v>
      </c>
    </row>
    <row r="248" spans="1:19" x14ac:dyDescent="0.35">
      <c r="A248" t="s">
        <v>80</v>
      </c>
      <c r="B248">
        <v>2</v>
      </c>
      <c r="C248" t="s">
        <v>52</v>
      </c>
      <c r="D248" t="s">
        <v>64</v>
      </c>
      <c r="E248" t="s">
        <v>65</v>
      </c>
      <c r="F248" t="s">
        <v>18</v>
      </c>
      <c r="G248" t="s">
        <v>72</v>
      </c>
      <c r="H248" t="s">
        <v>20</v>
      </c>
      <c r="I248" t="s">
        <v>78</v>
      </c>
      <c r="J248" t="s">
        <v>22</v>
      </c>
      <c r="K248" t="s">
        <v>26</v>
      </c>
      <c r="L248">
        <v>5</v>
      </c>
      <c r="M248">
        <v>1</v>
      </c>
      <c r="N248" t="s">
        <v>27</v>
      </c>
      <c r="O248" t="s">
        <v>44</v>
      </c>
      <c r="P248" t="s">
        <v>43</v>
      </c>
      <c r="Q248">
        <v>11564</v>
      </c>
    </row>
    <row r="249" spans="1:19" x14ac:dyDescent="0.35">
      <c r="A249" t="s">
        <v>80</v>
      </c>
      <c r="B249">
        <v>5</v>
      </c>
      <c r="C249" t="s">
        <v>52</v>
      </c>
      <c r="D249" t="s">
        <v>64</v>
      </c>
      <c r="E249" t="s">
        <v>65</v>
      </c>
      <c r="F249" t="s">
        <v>18</v>
      </c>
      <c r="G249" t="s">
        <v>72</v>
      </c>
      <c r="H249" t="s">
        <v>20</v>
      </c>
      <c r="I249" t="s">
        <v>78</v>
      </c>
      <c r="J249" t="s">
        <v>22</v>
      </c>
      <c r="K249" t="s">
        <v>26</v>
      </c>
      <c r="L249">
        <v>5</v>
      </c>
      <c r="M249">
        <v>1</v>
      </c>
      <c r="N249" t="s">
        <v>30</v>
      </c>
      <c r="O249" t="s">
        <v>46</v>
      </c>
      <c r="P249" t="s">
        <v>43</v>
      </c>
      <c r="Q249">
        <v>8892</v>
      </c>
    </row>
    <row r="250" spans="1:19" x14ac:dyDescent="0.35">
      <c r="A250" t="s">
        <v>81</v>
      </c>
      <c r="B250">
        <v>2</v>
      </c>
      <c r="C250" t="s">
        <v>52</v>
      </c>
      <c r="D250" t="s">
        <v>64</v>
      </c>
      <c r="E250" t="s">
        <v>65</v>
      </c>
      <c r="F250" t="s">
        <v>53</v>
      </c>
      <c r="G250" t="s">
        <v>19</v>
      </c>
      <c r="H250" t="s">
        <v>55</v>
      </c>
      <c r="I250" t="s">
        <v>66</v>
      </c>
      <c r="J250" t="s">
        <v>41</v>
      </c>
      <c r="K250" t="s">
        <v>26</v>
      </c>
      <c r="L250">
        <v>5</v>
      </c>
      <c r="M250">
        <v>1</v>
      </c>
      <c r="N250" t="s">
        <v>27</v>
      </c>
      <c r="O250" t="s">
        <v>27</v>
      </c>
      <c r="P250" t="s">
        <v>25</v>
      </c>
      <c r="Q250">
        <v>61672</v>
      </c>
    </row>
    <row r="251" spans="1:19" x14ac:dyDescent="0.35">
      <c r="A251" t="s">
        <v>81</v>
      </c>
      <c r="B251">
        <v>5</v>
      </c>
      <c r="C251" t="s">
        <v>52</v>
      </c>
      <c r="D251" t="s">
        <v>64</v>
      </c>
      <c r="E251" t="s">
        <v>65</v>
      </c>
      <c r="F251" t="s">
        <v>53</v>
      </c>
      <c r="G251" t="s">
        <v>19</v>
      </c>
      <c r="H251" t="s">
        <v>55</v>
      </c>
      <c r="I251" t="s">
        <v>66</v>
      </c>
      <c r="J251" t="s">
        <v>41</v>
      </c>
      <c r="K251" t="s">
        <v>26</v>
      </c>
      <c r="L251">
        <v>5</v>
      </c>
      <c r="M251">
        <v>1</v>
      </c>
      <c r="N251" t="s">
        <v>30</v>
      </c>
      <c r="O251" t="s">
        <v>30</v>
      </c>
      <c r="P251" t="s">
        <v>25</v>
      </c>
      <c r="Q251">
        <v>43607</v>
      </c>
    </row>
    <row r="252" spans="1:19" x14ac:dyDescent="0.35">
      <c r="A252" t="s">
        <v>84</v>
      </c>
      <c r="B252">
        <v>2</v>
      </c>
      <c r="C252" t="s">
        <v>15</v>
      </c>
      <c r="D252" t="s">
        <v>64</v>
      </c>
      <c r="E252" t="s">
        <v>65</v>
      </c>
      <c r="F252" t="s">
        <v>53</v>
      </c>
      <c r="G252" t="s">
        <v>82</v>
      </c>
      <c r="H252" t="s">
        <v>20</v>
      </c>
      <c r="I252" t="s">
        <v>83</v>
      </c>
      <c r="J252" t="s">
        <v>61</v>
      </c>
      <c r="K252" t="s">
        <v>26</v>
      </c>
      <c r="L252">
        <v>5</v>
      </c>
      <c r="M252">
        <v>1</v>
      </c>
      <c r="N252" t="s">
        <v>27</v>
      </c>
      <c r="O252" t="s">
        <v>27</v>
      </c>
      <c r="P252" t="s">
        <v>25</v>
      </c>
      <c r="Q252">
        <v>33624</v>
      </c>
    </row>
    <row r="253" spans="1:19" x14ac:dyDescent="0.35">
      <c r="A253" t="s">
        <v>84</v>
      </c>
      <c r="B253">
        <v>5</v>
      </c>
      <c r="C253" t="s">
        <v>15</v>
      </c>
      <c r="D253" t="s">
        <v>64</v>
      </c>
      <c r="E253" t="s">
        <v>65</v>
      </c>
      <c r="F253" t="s">
        <v>53</v>
      </c>
      <c r="G253" t="s">
        <v>82</v>
      </c>
      <c r="H253" t="s">
        <v>20</v>
      </c>
      <c r="I253" t="s">
        <v>83</v>
      </c>
      <c r="J253" t="s">
        <v>61</v>
      </c>
      <c r="K253" t="s">
        <v>26</v>
      </c>
      <c r="L253">
        <v>5</v>
      </c>
      <c r="M253">
        <v>1</v>
      </c>
      <c r="N253" t="s">
        <v>30</v>
      </c>
      <c r="O253" t="s">
        <v>30</v>
      </c>
      <c r="P253" t="s">
        <v>25</v>
      </c>
      <c r="Q253">
        <v>20471</v>
      </c>
    </row>
    <row r="254" spans="1:19" x14ac:dyDescent="0.35">
      <c r="A254" t="s">
        <v>87</v>
      </c>
      <c r="B254">
        <v>2</v>
      </c>
      <c r="C254" t="s">
        <v>52</v>
      </c>
      <c r="D254" t="s">
        <v>64</v>
      </c>
      <c r="E254" t="s">
        <v>65</v>
      </c>
      <c r="F254" t="s">
        <v>85</v>
      </c>
      <c r="G254" t="s">
        <v>54</v>
      </c>
      <c r="H254" t="s">
        <v>55</v>
      </c>
      <c r="I254" t="s">
        <v>21</v>
      </c>
      <c r="J254" t="s">
        <v>41</v>
      </c>
      <c r="K254" t="s">
        <v>26</v>
      </c>
      <c r="L254">
        <v>5</v>
      </c>
      <c r="M254">
        <v>1</v>
      </c>
      <c r="N254" t="s">
        <v>27</v>
      </c>
      <c r="O254" t="s">
        <v>27</v>
      </c>
      <c r="P254" t="s">
        <v>25</v>
      </c>
      <c r="Q254">
        <v>54001</v>
      </c>
    </row>
    <row r="255" spans="1:19" x14ac:dyDescent="0.35">
      <c r="A255" t="s">
        <v>87</v>
      </c>
      <c r="B255">
        <v>5</v>
      </c>
      <c r="C255" t="s">
        <v>52</v>
      </c>
      <c r="D255" t="s">
        <v>64</v>
      </c>
      <c r="E255" t="s">
        <v>65</v>
      </c>
      <c r="F255" t="s">
        <v>85</v>
      </c>
      <c r="G255" t="s">
        <v>54</v>
      </c>
      <c r="H255" t="s">
        <v>55</v>
      </c>
      <c r="I255" t="s">
        <v>21</v>
      </c>
      <c r="J255" t="s">
        <v>41</v>
      </c>
      <c r="K255" t="s">
        <v>26</v>
      </c>
      <c r="L255">
        <v>5</v>
      </c>
      <c r="M255">
        <v>1</v>
      </c>
      <c r="N255" t="s">
        <v>30</v>
      </c>
      <c r="O255" t="s">
        <v>30</v>
      </c>
      <c r="P255" t="s">
        <v>25</v>
      </c>
      <c r="Q255">
        <v>63675</v>
      </c>
    </row>
    <row r="256" spans="1:19" x14ac:dyDescent="0.35">
      <c r="A256" t="s">
        <v>90</v>
      </c>
      <c r="B256">
        <v>2</v>
      </c>
      <c r="C256" t="s">
        <v>40</v>
      </c>
      <c r="D256" t="s">
        <v>64</v>
      </c>
      <c r="E256" t="s">
        <v>65</v>
      </c>
      <c r="F256" t="s">
        <v>18</v>
      </c>
      <c r="G256" t="s">
        <v>19</v>
      </c>
      <c r="H256" t="s">
        <v>88</v>
      </c>
      <c r="I256" t="s">
        <v>89</v>
      </c>
      <c r="J256" t="s">
        <v>41</v>
      </c>
      <c r="K256" t="s">
        <v>26</v>
      </c>
      <c r="L256">
        <v>5</v>
      </c>
      <c r="M256">
        <v>1</v>
      </c>
      <c r="N256" t="s">
        <v>27</v>
      </c>
      <c r="O256" t="s">
        <v>27</v>
      </c>
      <c r="P256" t="s">
        <v>25</v>
      </c>
      <c r="Q256">
        <v>16943</v>
      </c>
    </row>
    <row r="257" spans="1:17" x14ac:dyDescent="0.35">
      <c r="A257" t="s">
        <v>90</v>
      </c>
      <c r="B257">
        <v>5</v>
      </c>
      <c r="C257" t="s">
        <v>40</v>
      </c>
      <c r="D257" t="s">
        <v>64</v>
      </c>
      <c r="E257" t="s">
        <v>65</v>
      </c>
      <c r="F257" t="s">
        <v>18</v>
      </c>
      <c r="G257" t="s">
        <v>19</v>
      </c>
      <c r="H257" t="s">
        <v>88</v>
      </c>
      <c r="I257" t="s">
        <v>89</v>
      </c>
      <c r="J257" t="s">
        <v>41</v>
      </c>
      <c r="K257" t="s">
        <v>26</v>
      </c>
      <c r="L257">
        <v>5</v>
      </c>
      <c r="M257">
        <v>1</v>
      </c>
      <c r="N257" t="s">
        <v>30</v>
      </c>
      <c r="O257" t="s">
        <v>30</v>
      </c>
      <c r="P257" t="s">
        <v>25</v>
      </c>
      <c r="Q257">
        <v>15884</v>
      </c>
    </row>
    <row r="258" spans="1:17" x14ac:dyDescent="0.35">
      <c r="A258" t="s">
        <v>91</v>
      </c>
      <c r="B258">
        <v>2</v>
      </c>
      <c r="C258" t="s">
        <v>15</v>
      </c>
      <c r="D258" t="s">
        <v>64</v>
      </c>
      <c r="E258" t="s">
        <v>65</v>
      </c>
      <c r="F258" t="s">
        <v>18</v>
      </c>
      <c r="G258" t="s">
        <v>68</v>
      </c>
      <c r="H258" t="s">
        <v>20</v>
      </c>
      <c r="I258" t="s">
        <v>66</v>
      </c>
      <c r="J258" t="s">
        <v>41</v>
      </c>
      <c r="K258" t="s">
        <v>26</v>
      </c>
      <c r="L258">
        <v>5</v>
      </c>
      <c r="M258">
        <v>1</v>
      </c>
      <c r="N258" t="s">
        <v>27</v>
      </c>
      <c r="O258" t="s">
        <v>27</v>
      </c>
      <c r="P258" t="s">
        <v>25</v>
      </c>
      <c r="Q258">
        <v>14083</v>
      </c>
    </row>
    <row r="259" spans="1:17" x14ac:dyDescent="0.35">
      <c r="A259" t="s">
        <v>91</v>
      </c>
      <c r="B259">
        <v>5</v>
      </c>
      <c r="C259" t="s">
        <v>15</v>
      </c>
      <c r="D259" t="s">
        <v>64</v>
      </c>
      <c r="E259" t="s">
        <v>65</v>
      </c>
      <c r="F259" t="s">
        <v>18</v>
      </c>
      <c r="G259" t="s">
        <v>68</v>
      </c>
      <c r="H259" t="s">
        <v>20</v>
      </c>
      <c r="I259" t="s">
        <v>66</v>
      </c>
      <c r="J259" t="s">
        <v>41</v>
      </c>
      <c r="K259" t="s">
        <v>26</v>
      </c>
      <c r="L259">
        <v>5</v>
      </c>
      <c r="M259">
        <v>1</v>
      </c>
      <c r="N259" t="s">
        <v>30</v>
      </c>
      <c r="O259" t="s">
        <v>30</v>
      </c>
      <c r="P259" t="s">
        <v>25</v>
      </c>
      <c r="Q259">
        <v>10145</v>
      </c>
    </row>
    <row r="260" spans="1:17" x14ac:dyDescent="0.35">
      <c r="A260" t="s">
        <v>92</v>
      </c>
      <c r="B260">
        <v>2</v>
      </c>
      <c r="C260" t="s">
        <v>40</v>
      </c>
      <c r="D260" t="s">
        <v>64</v>
      </c>
      <c r="E260" t="s">
        <v>65</v>
      </c>
      <c r="F260" t="s">
        <v>18</v>
      </c>
      <c r="G260" t="s">
        <v>54</v>
      </c>
      <c r="H260" t="s">
        <v>55</v>
      </c>
      <c r="I260" t="s">
        <v>78</v>
      </c>
      <c r="J260" t="s">
        <v>41</v>
      </c>
      <c r="K260" t="s">
        <v>26</v>
      </c>
      <c r="L260">
        <v>5</v>
      </c>
      <c r="M260">
        <v>1</v>
      </c>
      <c r="N260" t="s">
        <v>27</v>
      </c>
      <c r="O260" t="s">
        <v>27</v>
      </c>
      <c r="P260" t="s">
        <v>25</v>
      </c>
      <c r="Q260">
        <v>16665</v>
      </c>
    </row>
    <row r="261" spans="1:17" x14ac:dyDescent="0.35">
      <c r="A261" t="s">
        <v>92</v>
      </c>
      <c r="B261">
        <v>5</v>
      </c>
      <c r="C261" t="s">
        <v>40</v>
      </c>
      <c r="D261" t="s">
        <v>64</v>
      </c>
      <c r="E261" t="s">
        <v>65</v>
      </c>
      <c r="F261" t="s">
        <v>18</v>
      </c>
      <c r="G261" t="s">
        <v>54</v>
      </c>
      <c r="H261" t="s">
        <v>55</v>
      </c>
      <c r="I261" t="s">
        <v>78</v>
      </c>
      <c r="J261" t="s">
        <v>41</v>
      </c>
      <c r="K261" t="s">
        <v>26</v>
      </c>
      <c r="L261">
        <v>5</v>
      </c>
      <c r="M261">
        <v>1</v>
      </c>
      <c r="N261" t="s">
        <v>30</v>
      </c>
      <c r="O261" t="s">
        <v>30</v>
      </c>
      <c r="P261" t="s">
        <v>25</v>
      </c>
      <c r="Q261">
        <v>12422</v>
      </c>
    </row>
    <row r="262" spans="1:17" x14ac:dyDescent="0.35">
      <c r="A262" t="s">
        <v>94</v>
      </c>
      <c r="B262">
        <v>2</v>
      </c>
      <c r="C262" t="s">
        <v>40</v>
      </c>
      <c r="D262" t="s">
        <v>16</v>
      </c>
      <c r="E262" t="s">
        <v>17</v>
      </c>
      <c r="F262" t="s">
        <v>53</v>
      </c>
      <c r="G262" t="s">
        <v>54</v>
      </c>
      <c r="H262" t="s">
        <v>20</v>
      </c>
      <c r="I262" t="s">
        <v>21</v>
      </c>
      <c r="J262" t="s">
        <v>41</v>
      </c>
      <c r="K262" t="s">
        <v>26</v>
      </c>
      <c r="L262">
        <v>5</v>
      </c>
      <c r="M262">
        <v>1</v>
      </c>
      <c r="N262" t="s">
        <v>27</v>
      </c>
      <c r="O262" t="s">
        <v>27</v>
      </c>
      <c r="P262" t="s">
        <v>25</v>
      </c>
      <c r="Q262">
        <v>27129</v>
      </c>
    </row>
    <row r="263" spans="1:17" x14ac:dyDescent="0.35">
      <c r="A263" t="s">
        <v>94</v>
      </c>
      <c r="B263">
        <v>5</v>
      </c>
      <c r="C263" t="s">
        <v>40</v>
      </c>
      <c r="D263" t="s">
        <v>16</v>
      </c>
      <c r="E263" t="s">
        <v>17</v>
      </c>
      <c r="F263" t="s">
        <v>53</v>
      </c>
      <c r="G263" t="s">
        <v>54</v>
      </c>
      <c r="H263" t="s">
        <v>20</v>
      </c>
      <c r="I263" t="s">
        <v>21</v>
      </c>
      <c r="J263" t="s">
        <v>41</v>
      </c>
      <c r="K263" t="s">
        <v>26</v>
      </c>
      <c r="L263">
        <v>5</v>
      </c>
      <c r="M263">
        <v>1</v>
      </c>
      <c r="N263" t="s">
        <v>30</v>
      </c>
      <c r="O263" t="s">
        <v>30</v>
      </c>
      <c r="P263" t="s">
        <v>25</v>
      </c>
      <c r="Q263">
        <v>26728</v>
      </c>
    </row>
    <row r="264" spans="1:17" x14ac:dyDescent="0.35">
      <c r="A264" t="s">
        <v>101</v>
      </c>
      <c r="B264">
        <v>2</v>
      </c>
      <c r="C264" t="s">
        <v>15</v>
      </c>
      <c r="D264" t="s">
        <v>64</v>
      </c>
      <c r="E264" t="s">
        <v>65</v>
      </c>
      <c r="F264" t="s">
        <v>53</v>
      </c>
      <c r="G264" t="s">
        <v>82</v>
      </c>
      <c r="H264" t="s">
        <v>55</v>
      </c>
      <c r="I264" t="s">
        <v>83</v>
      </c>
      <c r="J264" t="s">
        <v>22</v>
      </c>
      <c r="K264" t="s">
        <v>26</v>
      </c>
      <c r="L264">
        <v>5</v>
      </c>
      <c r="M264">
        <v>1</v>
      </c>
      <c r="N264" t="s">
        <v>27</v>
      </c>
      <c r="O264" t="s">
        <v>27</v>
      </c>
      <c r="P264" t="s">
        <v>25</v>
      </c>
      <c r="Q264">
        <v>35645</v>
      </c>
    </row>
    <row r="265" spans="1:17" x14ac:dyDescent="0.35">
      <c r="A265" t="s">
        <v>101</v>
      </c>
      <c r="B265">
        <v>5</v>
      </c>
      <c r="C265" t="s">
        <v>15</v>
      </c>
      <c r="D265" t="s">
        <v>64</v>
      </c>
      <c r="E265" t="s">
        <v>65</v>
      </c>
      <c r="F265" t="s">
        <v>53</v>
      </c>
      <c r="G265" t="s">
        <v>82</v>
      </c>
      <c r="H265" t="s">
        <v>55</v>
      </c>
      <c r="I265" t="s">
        <v>83</v>
      </c>
      <c r="J265" t="s">
        <v>22</v>
      </c>
      <c r="K265" t="s">
        <v>26</v>
      </c>
      <c r="L265">
        <v>5</v>
      </c>
      <c r="M265">
        <v>1</v>
      </c>
      <c r="N265" t="s">
        <v>30</v>
      </c>
      <c r="O265" t="s">
        <v>30</v>
      </c>
      <c r="P265" t="s">
        <v>25</v>
      </c>
      <c r="Q265">
        <v>19496</v>
      </c>
    </row>
  </sheetData>
  <sortState xmlns:xlrd2="http://schemas.microsoft.com/office/spreadsheetml/2017/richdata2" ref="A2:Q265">
    <sortCondition ref="K2:K265"/>
    <sortCondition ref="L2:L265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0EF8-F54E-46A9-82D5-A828B67AAE02}">
  <dimension ref="A1:X265"/>
  <sheetViews>
    <sheetView topLeftCell="L1" workbookViewId="0">
      <selection activeCell="A44" sqref="A44:XFD44"/>
    </sheetView>
  </sheetViews>
  <sheetFormatPr baseColWidth="10" defaultRowHeight="14.5" x14ac:dyDescent="0.35"/>
  <cols>
    <col min="3" max="3" width="7" customWidth="1"/>
    <col min="9" max="9" width="30.54296875" customWidth="1"/>
    <col min="10" max="10" width="32.54296875" customWidth="1"/>
    <col min="22" max="22" width="7.6328125" customWidth="1"/>
  </cols>
  <sheetData>
    <row r="1" spans="1:24" x14ac:dyDescent="0.35">
      <c r="A1" t="s">
        <v>102</v>
      </c>
      <c r="B1" t="s">
        <v>38</v>
      </c>
      <c r="C1" t="s">
        <v>100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97</v>
      </c>
      <c r="T1" t="s">
        <v>95</v>
      </c>
      <c r="U1" t="s">
        <v>96</v>
      </c>
      <c r="V1" t="s">
        <v>98</v>
      </c>
      <c r="W1" t="s">
        <v>99</v>
      </c>
    </row>
    <row r="2" spans="1:24" x14ac:dyDescent="0.35">
      <c r="A2" t="s">
        <v>103</v>
      </c>
      <c r="B2" t="s">
        <v>39</v>
      </c>
      <c r="C2">
        <v>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  <c r="N2">
        <v>1</v>
      </c>
      <c r="O2" t="s">
        <v>29</v>
      </c>
      <c r="P2" t="s">
        <v>29</v>
      </c>
      <c r="Q2" t="s">
        <v>25</v>
      </c>
      <c r="R2">
        <v>13940</v>
      </c>
      <c r="S2" t="b">
        <f>OR(R2&lt;W2,R2&gt;X2)</f>
        <v>0</v>
      </c>
      <c r="T2">
        <f>_xlfn.PERCENTILE.INC(R2:R43,0.25)</f>
        <v>7796.25</v>
      </c>
      <c r="U2">
        <f>_xlfn.PERCENTILE.INC(R2:R43,0.75)</f>
        <v>13725</v>
      </c>
      <c r="V2">
        <f>U2-T2</f>
        <v>5928.75</v>
      </c>
      <c r="W2">
        <f>T2-(3*V2)</f>
        <v>-9990</v>
      </c>
      <c r="X2">
        <f>U2+(3*V2)</f>
        <v>31511.25</v>
      </c>
    </row>
    <row r="3" spans="1:24" x14ac:dyDescent="0.35">
      <c r="A3" t="s">
        <v>103</v>
      </c>
      <c r="B3" t="s">
        <v>39</v>
      </c>
      <c r="C3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>
        <v>1</v>
      </c>
      <c r="N3">
        <v>1</v>
      </c>
      <c r="O3" t="s">
        <v>34</v>
      </c>
      <c r="P3" t="s">
        <v>34</v>
      </c>
      <c r="Q3" t="s">
        <v>25</v>
      </c>
      <c r="R3">
        <v>10858</v>
      </c>
      <c r="S3" t="b">
        <f t="shared" ref="S3:S43" si="0">OR(R3&lt;W3,R3&gt;X3)</f>
        <v>0</v>
      </c>
      <c r="T3">
        <f>T2</f>
        <v>7796.25</v>
      </c>
      <c r="U3">
        <f>U2</f>
        <v>13725</v>
      </c>
      <c r="V3">
        <f>V2</f>
        <v>5928.75</v>
      </c>
      <c r="W3">
        <f>W2</f>
        <v>-9990</v>
      </c>
      <c r="X3">
        <f>X2</f>
        <v>31511.25</v>
      </c>
    </row>
    <row r="4" spans="1:24" x14ac:dyDescent="0.35">
      <c r="A4" t="s">
        <v>104</v>
      </c>
      <c r="B4" t="s">
        <v>51</v>
      </c>
      <c r="C4">
        <v>4</v>
      </c>
      <c r="D4" t="s">
        <v>40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41</v>
      </c>
      <c r="L4" t="s">
        <v>23</v>
      </c>
      <c r="M4">
        <v>1</v>
      </c>
      <c r="N4">
        <v>1</v>
      </c>
      <c r="O4" t="s">
        <v>29</v>
      </c>
      <c r="P4" t="s">
        <v>29</v>
      </c>
      <c r="Q4" t="s">
        <v>25</v>
      </c>
      <c r="R4">
        <v>6583</v>
      </c>
      <c r="S4" t="b">
        <f t="shared" si="0"/>
        <v>0</v>
      </c>
      <c r="T4">
        <f t="shared" ref="T4:T43" si="1">T3</f>
        <v>7796.25</v>
      </c>
      <c r="U4">
        <f t="shared" ref="U4:U43" si="2">U3</f>
        <v>13725</v>
      </c>
      <c r="V4">
        <f t="shared" ref="V4:V43" si="3">V3</f>
        <v>5928.75</v>
      </c>
      <c r="W4">
        <f t="shared" ref="W4:W43" si="4">W3</f>
        <v>-9990</v>
      </c>
      <c r="X4">
        <f t="shared" ref="X4:X43" si="5">X3</f>
        <v>31511.25</v>
      </c>
    </row>
    <row r="5" spans="1:24" x14ac:dyDescent="0.35">
      <c r="A5" t="s">
        <v>104</v>
      </c>
      <c r="B5" t="s">
        <v>51</v>
      </c>
      <c r="C5">
        <v>9</v>
      </c>
      <c r="D5" t="s">
        <v>40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41</v>
      </c>
      <c r="L5" t="s">
        <v>23</v>
      </c>
      <c r="M5">
        <v>1</v>
      </c>
      <c r="N5">
        <v>1</v>
      </c>
      <c r="O5" t="s">
        <v>34</v>
      </c>
      <c r="P5" t="s">
        <v>34</v>
      </c>
      <c r="Q5" t="s">
        <v>25</v>
      </c>
      <c r="R5">
        <v>7975</v>
      </c>
      <c r="S5" t="b">
        <f t="shared" si="0"/>
        <v>0</v>
      </c>
      <c r="T5">
        <f t="shared" si="1"/>
        <v>7796.25</v>
      </c>
      <c r="U5">
        <f t="shared" si="2"/>
        <v>13725</v>
      </c>
      <c r="V5">
        <f t="shared" si="3"/>
        <v>5928.75</v>
      </c>
      <c r="W5">
        <f t="shared" si="4"/>
        <v>-9990</v>
      </c>
      <c r="X5">
        <f t="shared" si="5"/>
        <v>31511.25</v>
      </c>
    </row>
    <row r="6" spans="1:24" x14ac:dyDescent="0.35">
      <c r="A6" t="s">
        <v>105</v>
      </c>
      <c r="B6" t="s">
        <v>58</v>
      </c>
      <c r="C6">
        <v>4</v>
      </c>
      <c r="D6" t="s">
        <v>52</v>
      </c>
      <c r="E6" t="s">
        <v>16</v>
      </c>
      <c r="F6" t="s">
        <v>17</v>
      </c>
      <c r="G6" t="s">
        <v>53</v>
      </c>
      <c r="H6" t="s">
        <v>54</v>
      </c>
      <c r="I6" t="s">
        <v>55</v>
      </c>
      <c r="J6" t="s">
        <v>56</v>
      </c>
      <c r="K6" t="s">
        <v>22</v>
      </c>
      <c r="L6" t="s">
        <v>23</v>
      </c>
      <c r="M6">
        <v>1</v>
      </c>
      <c r="N6">
        <v>1</v>
      </c>
      <c r="O6" t="s">
        <v>29</v>
      </c>
      <c r="P6" t="s">
        <v>29</v>
      </c>
      <c r="Q6" t="s">
        <v>25</v>
      </c>
      <c r="R6">
        <v>11960</v>
      </c>
      <c r="S6" t="b">
        <f t="shared" si="0"/>
        <v>0</v>
      </c>
      <c r="T6">
        <f t="shared" si="1"/>
        <v>7796.25</v>
      </c>
      <c r="U6">
        <f t="shared" si="2"/>
        <v>13725</v>
      </c>
      <c r="V6">
        <f t="shared" si="3"/>
        <v>5928.75</v>
      </c>
      <c r="W6">
        <f t="shared" si="4"/>
        <v>-9990</v>
      </c>
      <c r="X6">
        <f t="shared" si="5"/>
        <v>31511.25</v>
      </c>
    </row>
    <row r="7" spans="1:24" x14ac:dyDescent="0.35">
      <c r="A7" t="s">
        <v>105</v>
      </c>
      <c r="B7" t="s">
        <v>58</v>
      </c>
      <c r="C7">
        <v>9</v>
      </c>
      <c r="D7" t="s">
        <v>52</v>
      </c>
      <c r="E7" t="s">
        <v>16</v>
      </c>
      <c r="F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22</v>
      </c>
      <c r="L7" t="s">
        <v>23</v>
      </c>
      <c r="M7">
        <v>1</v>
      </c>
      <c r="N7">
        <v>1</v>
      </c>
      <c r="O7" t="s">
        <v>34</v>
      </c>
      <c r="P7" t="s">
        <v>34</v>
      </c>
      <c r="Q7" t="s">
        <v>25</v>
      </c>
      <c r="R7">
        <v>10979</v>
      </c>
      <c r="S7" t="b">
        <f t="shared" si="0"/>
        <v>0</v>
      </c>
      <c r="T7">
        <f t="shared" si="1"/>
        <v>7796.25</v>
      </c>
      <c r="U7">
        <f t="shared" si="2"/>
        <v>13725</v>
      </c>
      <c r="V7">
        <f t="shared" si="3"/>
        <v>5928.75</v>
      </c>
      <c r="W7">
        <f t="shared" si="4"/>
        <v>-9990</v>
      </c>
      <c r="X7">
        <f t="shared" si="5"/>
        <v>31511.25</v>
      </c>
    </row>
    <row r="8" spans="1:24" x14ac:dyDescent="0.35">
      <c r="A8" t="s">
        <v>106</v>
      </c>
      <c r="B8" t="s">
        <v>60</v>
      </c>
      <c r="C8">
        <v>4</v>
      </c>
      <c r="D8" t="s">
        <v>59</v>
      </c>
      <c r="E8" t="s">
        <v>16</v>
      </c>
      <c r="F8" t="s">
        <v>17</v>
      </c>
      <c r="G8" t="s">
        <v>18</v>
      </c>
      <c r="H8" t="s">
        <v>54</v>
      </c>
      <c r="I8" t="s">
        <v>55</v>
      </c>
      <c r="J8" t="s">
        <v>21</v>
      </c>
      <c r="K8" t="s">
        <v>22</v>
      </c>
      <c r="L8" t="s">
        <v>23</v>
      </c>
      <c r="M8">
        <v>1</v>
      </c>
      <c r="N8">
        <v>1</v>
      </c>
      <c r="O8" t="s">
        <v>29</v>
      </c>
      <c r="P8" t="s">
        <v>29</v>
      </c>
      <c r="Q8" t="s">
        <v>25</v>
      </c>
      <c r="R8">
        <v>12595</v>
      </c>
      <c r="S8" t="b">
        <f t="shared" si="0"/>
        <v>0</v>
      </c>
      <c r="T8">
        <f t="shared" si="1"/>
        <v>7796.25</v>
      </c>
      <c r="U8">
        <f t="shared" si="2"/>
        <v>13725</v>
      </c>
      <c r="V8">
        <f t="shared" si="3"/>
        <v>5928.75</v>
      </c>
      <c r="W8">
        <f t="shared" si="4"/>
        <v>-9990</v>
      </c>
      <c r="X8">
        <f t="shared" si="5"/>
        <v>31511.25</v>
      </c>
    </row>
    <row r="9" spans="1:24" x14ac:dyDescent="0.35">
      <c r="A9" t="s">
        <v>106</v>
      </c>
      <c r="B9" t="s">
        <v>60</v>
      </c>
      <c r="C9">
        <v>9</v>
      </c>
      <c r="D9" t="s">
        <v>59</v>
      </c>
      <c r="E9" t="s">
        <v>16</v>
      </c>
      <c r="F9" t="s">
        <v>17</v>
      </c>
      <c r="G9" t="s">
        <v>18</v>
      </c>
      <c r="H9" t="s">
        <v>54</v>
      </c>
      <c r="I9" t="s">
        <v>55</v>
      </c>
      <c r="J9" t="s">
        <v>21</v>
      </c>
      <c r="K9" t="s">
        <v>22</v>
      </c>
      <c r="L9" t="s">
        <v>23</v>
      </c>
      <c r="M9">
        <v>1</v>
      </c>
      <c r="N9">
        <v>1</v>
      </c>
      <c r="O9" t="s">
        <v>34</v>
      </c>
      <c r="P9" t="s">
        <v>34</v>
      </c>
      <c r="Q9" t="s">
        <v>25</v>
      </c>
      <c r="R9">
        <v>9823</v>
      </c>
      <c r="S9" t="b">
        <f t="shared" si="0"/>
        <v>0</v>
      </c>
      <c r="T9">
        <f t="shared" si="1"/>
        <v>7796.25</v>
      </c>
      <c r="U9">
        <f t="shared" si="2"/>
        <v>13725</v>
      </c>
      <c r="V9">
        <f t="shared" si="3"/>
        <v>5928.75</v>
      </c>
      <c r="W9">
        <f t="shared" si="4"/>
        <v>-9990</v>
      </c>
      <c r="X9">
        <f t="shared" si="5"/>
        <v>31511.25</v>
      </c>
    </row>
    <row r="10" spans="1:24" x14ac:dyDescent="0.35">
      <c r="A10" t="s">
        <v>107</v>
      </c>
      <c r="B10" t="s">
        <v>62</v>
      </c>
      <c r="C10">
        <v>4</v>
      </c>
      <c r="D10" t="s">
        <v>15</v>
      </c>
      <c r="E10" t="s">
        <v>16</v>
      </c>
      <c r="F10" t="s">
        <v>17</v>
      </c>
      <c r="G10" t="s">
        <v>53</v>
      </c>
      <c r="H10" t="s">
        <v>72</v>
      </c>
      <c r="I10" t="s">
        <v>20</v>
      </c>
      <c r="J10" t="s">
        <v>21</v>
      </c>
      <c r="K10" t="s">
        <v>41</v>
      </c>
      <c r="L10" t="s">
        <v>23</v>
      </c>
      <c r="M10">
        <v>1</v>
      </c>
      <c r="N10">
        <v>1</v>
      </c>
      <c r="O10" t="s">
        <v>29</v>
      </c>
      <c r="P10" t="s">
        <v>29</v>
      </c>
      <c r="Q10" t="s">
        <v>25</v>
      </c>
      <c r="R10">
        <v>14093</v>
      </c>
      <c r="S10" t="b">
        <f t="shared" si="0"/>
        <v>0</v>
      </c>
      <c r="T10">
        <f t="shared" si="1"/>
        <v>7796.25</v>
      </c>
      <c r="U10">
        <f t="shared" si="2"/>
        <v>13725</v>
      </c>
      <c r="V10">
        <f t="shared" si="3"/>
        <v>5928.75</v>
      </c>
      <c r="W10">
        <f t="shared" si="4"/>
        <v>-9990</v>
      </c>
      <c r="X10">
        <f t="shared" si="5"/>
        <v>31511.25</v>
      </c>
    </row>
    <row r="11" spans="1:24" x14ac:dyDescent="0.35">
      <c r="A11" t="s">
        <v>107</v>
      </c>
      <c r="B11" t="s">
        <v>62</v>
      </c>
      <c r="C11">
        <v>9</v>
      </c>
      <c r="D11" t="s">
        <v>15</v>
      </c>
      <c r="E11" t="s">
        <v>16</v>
      </c>
      <c r="F11" t="s">
        <v>17</v>
      </c>
      <c r="G11" t="s">
        <v>53</v>
      </c>
      <c r="H11" t="s">
        <v>72</v>
      </c>
      <c r="I11" t="s">
        <v>20</v>
      </c>
      <c r="J11" t="s">
        <v>21</v>
      </c>
      <c r="K11" t="s">
        <v>41</v>
      </c>
      <c r="L11" t="s">
        <v>23</v>
      </c>
      <c r="M11">
        <v>1</v>
      </c>
      <c r="N11">
        <v>1</v>
      </c>
      <c r="O11" t="s">
        <v>34</v>
      </c>
      <c r="P11" t="s">
        <v>34</v>
      </c>
      <c r="Q11" t="s">
        <v>25</v>
      </c>
      <c r="R11">
        <v>13796</v>
      </c>
      <c r="S11" t="b">
        <f t="shared" si="0"/>
        <v>0</v>
      </c>
      <c r="T11">
        <f t="shared" si="1"/>
        <v>7796.25</v>
      </c>
      <c r="U11">
        <f t="shared" si="2"/>
        <v>13725</v>
      </c>
      <c r="V11">
        <f t="shared" si="3"/>
        <v>5928.75</v>
      </c>
      <c r="W11">
        <f t="shared" si="4"/>
        <v>-9990</v>
      </c>
      <c r="X11">
        <f t="shared" si="5"/>
        <v>31511.25</v>
      </c>
    </row>
    <row r="12" spans="1:24" x14ac:dyDescent="0.35">
      <c r="A12" t="s">
        <v>108</v>
      </c>
      <c r="B12" t="s">
        <v>63</v>
      </c>
      <c r="C12">
        <v>4</v>
      </c>
      <c r="D12" t="s">
        <v>52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56</v>
      </c>
      <c r="K12" t="s">
        <v>61</v>
      </c>
      <c r="L12" t="s">
        <v>23</v>
      </c>
      <c r="M12">
        <v>1</v>
      </c>
      <c r="N12">
        <v>1</v>
      </c>
      <c r="O12" t="s">
        <v>29</v>
      </c>
      <c r="P12" t="s">
        <v>29</v>
      </c>
      <c r="Q12" t="s">
        <v>25</v>
      </c>
      <c r="R12">
        <v>17766</v>
      </c>
      <c r="S12" t="b">
        <f t="shared" si="0"/>
        <v>0</v>
      </c>
      <c r="T12">
        <f t="shared" si="1"/>
        <v>7796.25</v>
      </c>
      <c r="U12">
        <f t="shared" si="2"/>
        <v>13725</v>
      </c>
      <c r="V12">
        <f t="shared" si="3"/>
        <v>5928.75</v>
      </c>
      <c r="W12">
        <f t="shared" si="4"/>
        <v>-9990</v>
      </c>
      <c r="X12">
        <f t="shared" si="5"/>
        <v>31511.25</v>
      </c>
    </row>
    <row r="13" spans="1:24" x14ac:dyDescent="0.35">
      <c r="A13" t="s">
        <v>108</v>
      </c>
      <c r="B13" t="s">
        <v>63</v>
      </c>
      <c r="C13">
        <v>9</v>
      </c>
      <c r="D13" t="s">
        <v>52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56</v>
      </c>
      <c r="K13" t="s">
        <v>61</v>
      </c>
      <c r="L13" t="s">
        <v>23</v>
      </c>
      <c r="M13">
        <v>1</v>
      </c>
      <c r="N13">
        <v>1</v>
      </c>
      <c r="O13" t="s">
        <v>34</v>
      </c>
      <c r="P13" t="s">
        <v>34</v>
      </c>
      <c r="Q13" t="s">
        <v>25</v>
      </c>
      <c r="R13">
        <v>7366</v>
      </c>
      <c r="S13" t="b">
        <f t="shared" si="0"/>
        <v>0</v>
      </c>
      <c r="T13">
        <f t="shared" si="1"/>
        <v>7796.25</v>
      </c>
      <c r="U13">
        <f t="shared" si="2"/>
        <v>13725</v>
      </c>
      <c r="V13">
        <f t="shared" si="3"/>
        <v>5928.75</v>
      </c>
      <c r="W13">
        <f t="shared" si="4"/>
        <v>-9990</v>
      </c>
      <c r="X13">
        <f t="shared" si="5"/>
        <v>31511.25</v>
      </c>
    </row>
    <row r="14" spans="1:24" x14ac:dyDescent="0.35">
      <c r="A14" t="s">
        <v>109</v>
      </c>
      <c r="B14" t="s">
        <v>71</v>
      </c>
      <c r="C14">
        <v>4</v>
      </c>
      <c r="D14" t="s">
        <v>15</v>
      </c>
      <c r="E14" t="s">
        <v>16</v>
      </c>
      <c r="F14" t="s">
        <v>17</v>
      </c>
      <c r="G14" t="s">
        <v>53</v>
      </c>
      <c r="H14" t="s">
        <v>54</v>
      </c>
      <c r="I14" t="s">
        <v>20</v>
      </c>
      <c r="J14" t="s">
        <v>21</v>
      </c>
      <c r="K14" t="s">
        <v>41</v>
      </c>
      <c r="L14" t="s">
        <v>23</v>
      </c>
      <c r="M14">
        <v>1</v>
      </c>
      <c r="N14">
        <v>1</v>
      </c>
      <c r="O14" t="s">
        <v>29</v>
      </c>
      <c r="P14" t="s">
        <v>29</v>
      </c>
      <c r="Q14" t="s">
        <v>25</v>
      </c>
      <c r="R14">
        <v>9388</v>
      </c>
      <c r="S14" t="b">
        <f t="shared" si="0"/>
        <v>0</v>
      </c>
      <c r="T14">
        <f t="shared" si="1"/>
        <v>7796.25</v>
      </c>
      <c r="U14">
        <f t="shared" si="2"/>
        <v>13725</v>
      </c>
      <c r="V14">
        <f t="shared" si="3"/>
        <v>5928.75</v>
      </c>
      <c r="W14">
        <f t="shared" si="4"/>
        <v>-9990</v>
      </c>
      <c r="X14">
        <f t="shared" si="5"/>
        <v>31511.25</v>
      </c>
    </row>
    <row r="15" spans="1:24" x14ac:dyDescent="0.35">
      <c r="A15" t="s">
        <v>109</v>
      </c>
      <c r="B15" t="s">
        <v>71</v>
      </c>
      <c r="C15">
        <v>9</v>
      </c>
      <c r="D15" t="s">
        <v>15</v>
      </c>
      <c r="E15" t="s">
        <v>16</v>
      </c>
      <c r="F15" t="s">
        <v>17</v>
      </c>
      <c r="G15" t="s">
        <v>53</v>
      </c>
      <c r="H15" t="s">
        <v>54</v>
      </c>
      <c r="I15" t="s">
        <v>20</v>
      </c>
      <c r="J15" t="s">
        <v>21</v>
      </c>
      <c r="K15" t="s">
        <v>41</v>
      </c>
      <c r="L15" t="s">
        <v>23</v>
      </c>
      <c r="M15">
        <v>1</v>
      </c>
      <c r="N15">
        <v>1</v>
      </c>
      <c r="O15" t="s">
        <v>34</v>
      </c>
      <c r="P15" t="s">
        <v>34</v>
      </c>
      <c r="Q15" t="s">
        <v>25</v>
      </c>
      <c r="R15">
        <v>7737</v>
      </c>
      <c r="S15" t="b">
        <f t="shared" si="0"/>
        <v>0</v>
      </c>
      <c r="T15">
        <f t="shared" si="1"/>
        <v>7796.25</v>
      </c>
      <c r="U15">
        <f t="shared" si="2"/>
        <v>13725</v>
      </c>
      <c r="V15">
        <f t="shared" si="3"/>
        <v>5928.75</v>
      </c>
      <c r="W15">
        <f t="shared" si="4"/>
        <v>-9990</v>
      </c>
      <c r="X15">
        <f t="shared" si="5"/>
        <v>31511.25</v>
      </c>
    </row>
    <row r="16" spans="1:24" x14ac:dyDescent="0.35">
      <c r="A16" t="s">
        <v>110</v>
      </c>
      <c r="B16" t="s">
        <v>69</v>
      </c>
      <c r="C16">
        <v>4</v>
      </c>
      <c r="D16" t="s">
        <v>40</v>
      </c>
      <c r="E16" t="s">
        <v>64</v>
      </c>
      <c r="F16" t="s">
        <v>65</v>
      </c>
      <c r="G16" t="s">
        <v>53</v>
      </c>
      <c r="H16" t="s">
        <v>54</v>
      </c>
      <c r="I16" t="s">
        <v>20</v>
      </c>
      <c r="J16" t="s">
        <v>66</v>
      </c>
      <c r="K16" t="s">
        <v>41</v>
      </c>
      <c r="L16" t="s">
        <v>23</v>
      </c>
      <c r="M16">
        <v>1</v>
      </c>
      <c r="N16">
        <v>1</v>
      </c>
      <c r="O16" t="s">
        <v>29</v>
      </c>
      <c r="P16" t="s">
        <v>29</v>
      </c>
      <c r="Q16" t="s">
        <v>25</v>
      </c>
      <c r="R16">
        <v>9871</v>
      </c>
      <c r="S16" t="b">
        <f t="shared" si="0"/>
        <v>0</v>
      </c>
      <c r="T16">
        <f t="shared" si="1"/>
        <v>7796.25</v>
      </c>
      <c r="U16">
        <f t="shared" si="2"/>
        <v>13725</v>
      </c>
      <c r="V16">
        <f t="shared" si="3"/>
        <v>5928.75</v>
      </c>
      <c r="W16">
        <f t="shared" si="4"/>
        <v>-9990</v>
      </c>
      <c r="X16">
        <f t="shared" si="5"/>
        <v>31511.25</v>
      </c>
    </row>
    <row r="17" spans="1:24" x14ac:dyDescent="0.35">
      <c r="A17" t="s">
        <v>110</v>
      </c>
      <c r="B17" t="s">
        <v>69</v>
      </c>
      <c r="C17">
        <v>9</v>
      </c>
      <c r="D17" t="s">
        <v>40</v>
      </c>
      <c r="E17" t="s">
        <v>64</v>
      </c>
      <c r="F17" t="s">
        <v>65</v>
      </c>
      <c r="G17" t="s">
        <v>53</v>
      </c>
      <c r="H17" t="s">
        <v>54</v>
      </c>
      <c r="I17" t="s">
        <v>20</v>
      </c>
      <c r="J17" t="s">
        <v>66</v>
      </c>
      <c r="K17" t="s">
        <v>41</v>
      </c>
      <c r="L17" t="s">
        <v>23</v>
      </c>
      <c r="M17">
        <v>1</v>
      </c>
      <c r="N17">
        <v>1</v>
      </c>
      <c r="O17" t="s">
        <v>34</v>
      </c>
      <c r="P17" t="s">
        <v>34</v>
      </c>
      <c r="Q17" t="s">
        <v>25</v>
      </c>
      <c r="R17">
        <v>8279</v>
      </c>
      <c r="S17" t="b">
        <f t="shared" si="0"/>
        <v>0</v>
      </c>
      <c r="T17">
        <f t="shared" si="1"/>
        <v>7796.25</v>
      </c>
      <c r="U17">
        <f t="shared" si="2"/>
        <v>13725</v>
      </c>
      <c r="V17">
        <f t="shared" si="3"/>
        <v>5928.75</v>
      </c>
      <c r="W17">
        <f t="shared" si="4"/>
        <v>-9990</v>
      </c>
      <c r="X17">
        <f t="shared" si="5"/>
        <v>31511.25</v>
      </c>
    </row>
    <row r="18" spans="1:24" x14ac:dyDescent="0.35">
      <c r="A18" t="s">
        <v>111</v>
      </c>
      <c r="B18" t="s">
        <v>70</v>
      </c>
      <c r="C18">
        <v>4</v>
      </c>
      <c r="D18" t="s">
        <v>52</v>
      </c>
      <c r="E18" t="s">
        <v>64</v>
      </c>
      <c r="F18" t="s">
        <v>65</v>
      </c>
      <c r="G18" t="s">
        <v>53</v>
      </c>
      <c r="H18" t="s">
        <v>68</v>
      </c>
      <c r="I18" t="s">
        <v>20</v>
      </c>
      <c r="J18" t="s">
        <v>21</v>
      </c>
      <c r="K18" t="s">
        <v>41</v>
      </c>
      <c r="L18" t="s">
        <v>23</v>
      </c>
      <c r="M18">
        <v>1</v>
      </c>
      <c r="N18">
        <v>1</v>
      </c>
      <c r="O18" t="s">
        <v>29</v>
      </c>
      <c r="P18" t="s">
        <v>29</v>
      </c>
      <c r="Q18" t="s">
        <v>25</v>
      </c>
      <c r="R18">
        <v>29642</v>
      </c>
      <c r="S18" t="b">
        <f t="shared" si="0"/>
        <v>0</v>
      </c>
      <c r="T18">
        <f t="shared" si="1"/>
        <v>7796.25</v>
      </c>
      <c r="U18">
        <f t="shared" si="2"/>
        <v>13725</v>
      </c>
      <c r="V18">
        <f t="shared" si="3"/>
        <v>5928.75</v>
      </c>
      <c r="W18">
        <f t="shared" si="4"/>
        <v>-9990</v>
      </c>
      <c r="X18">
        <f t="shared" si="5"/>
        <v>31511.25</v>
      </c>
    </row>
    <row r="19" spans="1:24" x14ac:dyDescent="0.35">
      <c r="A19" t="s">
        <v>111</v>
      </c>
      <c r="B19" t="s">
        <v>70</v>
      </c>
      <c r="C19">
        <v>9</v>
      </c>
      <c r="D19" t="s">
        <v>52</v>
      </c>
      <c r="E19" t="s">
        <v>64</v>
      </c>
      <c r="F19" t="s">
        <v>65</v>
      </c>
      <c r="G19" t="s">
        <v>53</v>
      </c>
      <c r="H19" t="s">
        <v>68</v>
      </c>
      <c r="I19" t="s">
        <v>20</v>
      </c>
      <c r="J19" t="s">
        <v>21</v>
      </c>
      <c r="K19" t="s">
        <v>41</v>
      </c>
      <c r="L19" t="s">
        <v>23</v>
      </c>
      <c r="M19">
        <v>1</v>
      </c>
      <c r="N19">
        <v>2</v>
      </c>
      <c r="O19" t="s">
        <v>34</v>
      </c>
      <c r="P19" t="s">
        <v>34</v>
      </c>
      <c r="Q19" t="s">
        <v>25</v>
      </c>
      <c r="R19">
        <v>127093</v>
      </c>
      <c r="S19" t="b">
        <f t="shared" si="0"/>
        <v>1</v>
      </c>
      <c r="T19">
        <f t="shared" si="1"/>
        <v>7796.25</v>
      </c>
      <c r="U19">
        <f t="shared" si="2"/>
        <v>13725</v>
      </c>
      <c r="V19">
        <f t="shared" si="3"/>
        <v>5928.75</v>
      </c>
      <c r="W19">
        <f t="shared" si="4"/>
        <v>-9990</v>
      </c>
      <c r="X19">
        <f t="shared" si="5"/>
        <v>31511.25</v>
      </c>
    </row>
    <row r="20" spans="1:24" x14ac:dyDescent="0.35">
      <c r="A20" t="s">
        <v>112</v>
      </c>
      <c r="B20" t="s">
        <v>74</v>
      </c>
      <c r="C20">
        <v>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20</v>
      </c>
      <c r="J20" t="s">
        <v>21</v>
      </c>
      <c r="K20" t="s">
        <v>41</v>
      </c>
      <c r="L20" t="s">
        <v>23</v>
      </c>
      <c r="M20">
        <v>1</v>
      </c>
      <c r="N20">
        <v>1</v>
      </c>
      <c r="O20" t="s">
        <v>29</v>
      </c>
      <c r="P20" t="s">
        <v>29</v>
      </c>
      <c r="Q20" t="s">
        <v>25</v>
      </c>
      <c r="R20">
        <v>6968</v>
      </c>
      <c r="S20" t="b">
        <f t="shared" si="0"/>
        <v>0</v>
      </c>
      <c r="T20">
        <f t="shared" si="1"/>
        <v>7796.25</v>
      </c>
      <c r="U20">
        <f t="shared" si="2"/>
        <v>13725</v>
      </c>
      <c r="V20">
        <f t="shared" si="3"/>
        <v>5928.75</v>
      </c>
      <c r="W20">
        <f t="shared" si="4"/>
        <v>-9990</v>
      </c>
      <c r="X20">
        <f t="shared" si="5"/>
        <v>31511.25</v>
      </c>
    </row>
    <row r="21" spans="1:24" x14ac:dyDescent="0.35">
      <c r="A21" t="s">
        <v>112</v>
      </c>
      <c r="B21" t="s">
        <v>74</v>
      </c>
      <c r="C21">
        <v>9</v>
      </c>
      <c r="D21" t="s">
        <v>15</v>
      </c>
      <c r="E21" t="s">
        <v>16</v>
      </c>
      <c r="F21" t="s">
        <v>17</v>
      </c>
      <c r="G21" t="s">
        <v>18</v>
      </c>
      <c r="H21" t="s">
        <v>54</v>
      </c>
      <c r="I21" t="s">
        <v>20</v>
      </c>
      <c r="J21" t="s">
        <v>21</v>
      </c>
      <c r="K21" t="s">
        <v>41</v>
      </c>
      <c r="L21" t="s">
        <v>23</v>
      </c>
      <c r="M21">
        <v>1</v>
      </c>
      <c r="N21">
        <v>1</v>
      </c>
      <c r="O21" t="s">
        <v>34</v>
      </c>
      <c r="P21" t="s">
        <v>34</v>
      </c>
      <c r="Q21" t="s">
        <v>25</v>
      </c>
      <c r="R21">
        <v>11008</v>
      </c>
      <c r="S21" t="b">
        <f t="shared" si="0"/>
        <v>0</v>
      </c>
      <c r="T21">
        <f t="shared" si="1"/>
        <v>7796.25</v>
      </c>
      <c r="U21">
        <f t="shared" si="2"/>
        <v>13725</v>
      </c>
      <c r="V21">
        <f t="shared" si="3"/>
        <v>5928.75</v>
      </c>
      <c r="W21">
        <f t="shared" si="4"/>
        <v>-9990</v>
      </c>
      <c r="X21">
        <f t="shared" si="5"/>
        <v>31511.25</v>
      </c>
    </row>
    <row r="22" spans="1:24" x14ac:dyDescent="0.35">
      <c r="A22" t="s">
        <v>113</v>
      </c>
      <c r="B22" t="s">
        <v>76</v>
      </c>
      <c r="C22">
        <v>4</v>
      </c>
      <c r="D22" t="s">
        <v>15</v>
      </c>
      <c r="E22" t="s">
        <v>16</v>
      </c>
      <c r="F22" t="s">
        <v>17</v>
      </c>
      <c r="G22" t="s">
        <v>18</v>
      </c>
      <c r="H22" t="s">
        <v>72</v>
      </c>
      <c r="I22" t="s">
        <v>20</v>
      </c>
      <c r="J22" t="s">
        <v>21</v>
      </c>
      <c r="K22" t="s">
        <v>22</v>
      </c>
      <c r="L22" t="s">
        <v>23</v>
      </c>
      <c r="M22">
        <v>1</v>
      </c>
      <c r="N22">
        <v>1</v>
      </c>
      <c r="O22" t="s">
        <v>29</v>
      </c>
      <c r="P22" t="s">
        <v>29</v>
      </c>
      <c r="Q22" t="s">
        <v>25</v>
      </c>
      <c r="R22">
        <v>7974</v>
      </c>
      <c r="S22" t="b">
        <f t="shared" si="0"/>
        <v>0</v>
      </c>
      <c r="T22">
        <f t="shared" si="1"/>
        <v>7796.25</v>
      </c>
      <c r="U22">
        <f t="shared" si="2"/>
        <v>13725</v>
      </c>
      <c r="V22">
        <f t="shared" si="3"/>
        <v>5928.75</v>
      </c>
      <c r="W22">
        <f t="shared" si="4"/>
        <v>-9990</v>
      </c>
      <c r="X22">
        <f t="shared" si="5"/>
        <v>31511.25</v>
      </c>
    </row>
    <row r="23" spans="1:24" x14ac:dyDescent="0.35">
      <c r="A23" t="s">
        <v>113</v>
      </c>
      <c r="B23" t="s">
        <v>76</v>
      </c>
      <c r="C23">
        <v>9</v>
      </c>
      <c r="D23" t="s">
        <v>15</v>
      </c>
      <c r="E23" t="s">
        <v>16</v>
      </c>
      <c r="F23" t="s">
        <v>17</v>
      </c>
      <c r="G23" t="s">
        <v>18</v>
      </c>
      <c r="H23" t="s">
        <v>72</v>
      </c>
      <c r="I23" t="s">
        <v>20</v>
      </c>
      <c r="J23" t="s">
        <v>21</v>
      </c>
      <c r="K23" t="s">
        <v>22</v>
      </c>
      <c r="L23" t="s">
        <v>23</v>
      </c>
      <c r="M23">
        <v>1</v>
      </c>
      <c r="N23">
        <v>1</v>
      </c>
      <c r="O23" t="s">
        <v>34</v>
      </c>
      <c r="P23" t="s">
        <v>34</v>
      </c>
      <c r="Q23" t="s">
        <v>25</v>
      </c>
      <c r="R23">
        <v>7412</v>
      </c>
      <c r="S23" t="b">
        <f t="shared" si="0"/>
        <v>0</v>
      </c>
      <c r="T23">
        <f t="shared" si="1"/>
        <v>7796.25</v>
      </c>
      <c r="U23">
        <f t="shared" si="2"/>
        <v>13725</v>
      </c>
      <c r="V23">
        <f t="shared" si="3"/>
        <v>5928.75</v>
      </c>
      <c r="W23">
        <f t="shared" si="4"/>
        <v>-9990</v>
      </c>
      <c r="X23">
        <f t="shared" si="5"/>
        <v>31511.25</v>
      </c>
    </row>
    <row r="24" spans="1:24" x14ac:dyDescent="0.35">
      <c r="A24" t="s">
        <v>114</v>
      </c>
      <c r="B24" t="s">
        <v>77</v>
      </c>
      <c r="C24">
        <v>4</v>
      </c>
      <c r="D24" t="s">
        <v>15</v>
      </c>
      <c r="E24" t="s">
        <v>16</v>
      </c>
      <c r="F24" t="s">
        <v>17</v>
      </c>
      <c r="G24" t="s">
        <v>18</v>
      </c>
      <c r="H24" t="s">
        <v>54</v>
      </c>
      <c r="I24" t="s">
        <v>20</v>
      </c>
      <c r="J24" t="s">
        <v>21</v>
      </c>
      <c r="K24" t="s">
        <v>41</v>
      </c>
      <c r="L24" t="s">
        <v>23</v>
      </c>
      <c r="M24">
        <v>1</v>
      </c>
      <c r="N24">
        <v>1</v>
      </c>
      <c r="O24" t="s">
        <v>29</v>
      </c>
      <c r="P24" t="s">
        <v>29</v>
      </c>
      <c r="Q24" t="s">
        <v>25</v>
      </c>
      <c r="R24">
        <v>6552</v>
      </c>
      <c r="S24" t="b">
        <f t="shared" si="0"/>
        <v>0</v>
      </c>
      <c r="T24">
        <f t="shared" si="1"/>
        <v>7796.25</v>
      </c>
      <c r="U24">
        <f t="shared" si="2"/>
        <v>13725</v>
      </c>
      <c r="V24">
        <f t="shared" si="3"/>
        <v>5928.75</v>
      </c>
      <c r="W24">
        <f t="shared" si="4"/>
        <v>-9990</v>
      </c>
      <c r="X24">
        <f t="shared" si="5"/>
        <v>31511.25</v>
      </c>
    </row>
    <row r="25" spans="1:24" x14ac:dyDescent="0.35">
      <c r="A25" t="s">
        <v>114</v>
      </c>
      <c r="B25" t="s">
        <v>77</v>
      </c>
      <c r="C25">
        <v>9</v>
      </c>
      <c r="D25" t="s">
        <v>15</v>
      </c>
      <c r="E25" t="s">
        <v>16</v>
      </c>
      <c r="F25" t="s">
        <v>17</v>
      </c>
      <c r="G25" t="s">
        <v>18</v>
      </c>
      <c r="H25" t="s">
        <v>54</v>
      </c>
      <c r="I25" t="s">
        <v>20</v>
      </c>
      <c r="J25" t="s">
        <v>21</v>
      </c>
      <c r="K25" t="s">
        <v>41</v>
      </c>
      <c r="L25" t="s">
        <v>23</v>
      </c>
      <c r="M25">
        <v>1</v>
      </c>
      <c r="N25">
        <v>1</v>
      </c>
      <c r="O25" t="s">
        <v>34</v>
      </c>
      <c r="P25" t="s">
        <v>34</v>
      </c>
      <c r="Q25" t="s">
        <v>25</v>
      </c>
      <c r="R25">
        <v>6664</v>
      </c>
      <c r="S25" t="b">
        <f t="shared" si="0"/>
        <v>0</v>
      </c>
      <c r="T25">
        <f t="shared" si="1"/>
        <v>7796.25</v>
      </c>
      <c r="U25">
        <f t="shared" si="2"/>
        <v>13725</v>
      </c>
      <c r="V25">
        <f t="shared" si="3"/>
        <v>5928.75</v>
      </c>
      <c r="W25">
        <f t="shared" si="4"/>
        <v>-9990</v>
      </c>
      <c r="X25">
        <f t="shared" si="5"/>
        <v>31511.25</v>
      </c>
    </row>
    <row r="26" spans="1:24" x14ac:dyDescent="0.35">
      <c r="A26" t="s">
        <v>115</v>
      </c>
      <c r="B26" t="s">
        <v>79</v>
      </c>
      <c r="C26">
        <v>4</v>
      </c>
      <c r="D26" t="s">
        <v>40</v>
      </c>
      <c r="E26" t="s">
        <v>64</v>
      </c>
      <c r="F26" t="s">
        <v>17</v>
      </c>
      <c r="G26" t="s">
        <v>53</v>
      </c>
      <c r="H26" t="s">
        <v>72</v>
      </c>
      <c r="I26" t="s">
        <v>20</v>
      </c>
      <c r="J26" t="s">
        <v>78</v>
      </c>
      <c r="K26" t="s">
        <v>61</v>
      </c>
      <c r="L26" t="s">
        <v>23</v>
      </c>
      <c r="M26">
        <v>1</v>
      </c>
      <c r="N26">
        <v>1</v>
      </c>
      <c r="O26" t="s">
        <v>29</v>
      </c>
      <c r="P26" t="s">
        <v>29</v>
      </c>
      <c r="Q26" t="s">
        <v>25</v>
      </c>
      <c r="R26">
        <v>8855</v>
      </c>
      <c r="S26" t="b">
        <f t="shared" si="0"/>
        <v>0</v>
      </c>
      <c r="T26">
        <f t="shared" si="1"/>
        <v>7796.25</v>
      </c>
      <c r="U26">
        <f t="shared" si="2"/>
        <v>13725</v>
      </c>
      <c r="V26">
        <f t="shared" si="3"/>
        <v>5928.75</v>
      </c>
      <c r="W26">
        <f t="shared" si="4"/>
        <v>-9990</v>
      </c>
      <c r="X26">
        <f t="shared" si="5"/>
        <v>31511.25</v>
      </c>
    </row>
    <row r="27" spans="1:24" x14ac:dyDescent="0.35">
      <c r="A27" t="s">
        <v>115</v>
      </c>
      <c r="B27" t="s">
        <v>79</v>
      </c>
      <c r="C27">
        <v>9</v>
      </c>
      <c r="D27" t="s">
        <v>40</v>
      </c>
      <c r="E27" t="s">
        <v>64</v>
      </c>
      <c r="F27" t="s">
        <v>17</v>
      </c>
      <c r="G27" t="s">
        <v>53</v>
      </c>
      <c r="H27" t="s">
        <v>72</v>
      </c>
      <c r="I27" t="s">
        <v>20</v>
      </c>
      <c r="J27" t="s">
        <v>78</v>
      </c>
      <c r="K27" t="s">
        <v>61</v>
      </c>
      <c r="L27" t="s">
        <v>23</v>
      </c>
      <c r="M27">
        <v>1</v>
      </c>
      <c r="N27">
        <v>1</v>
      </c>
      <c r="O27" t="s">
        <v>34</v>
      </c>
      <c r="P27" t="s">
        <v>34</v>
      </c>
      <c r="Q27" t="s">
        <v>25</v>
      </c>
      <c r="R27">
        <v>10536</v>
      </c>
      <c r="S27" t="b">
        <f t="shared" si="0"/>
        <v>0</v>
      </c>
      <c r="T27">
        <f t="shared" si="1"/>
        <v>7796.25</v>
      </c>
      <c r="U27">
        <f t="shared" si="2"/>
        <v>13725</v>
      </c>
      <c r="V27">
        <f t="shared" si="3"/>
        <v>5928.75</v>
      </c>
      <c r="W27">
        <f t="shared" si="4"/>
        <v>-9990</v>
      </c>
      <c r="X27">
        <f t="shared" si="5"/>
        <v>31511.25</v>
      </c>
    </row>
    <row r="28" spans="1:24" x14ac:dyDescent="0.35">
      <c r="A28" t="s">
        <v>116</v>
      </c>
      <c r="B28" t="s">
        <v>80</v>
      </c>
      <c r="C28">
        <v>4</v>
      </c>
      <c r="D28" t="s">
        <v>52</v>
      </c>
      <c r="E28" t="s">
        <v>64</v>
      </c>
      <c r="F28" t="s">
        <v>65</v>
      </c>
      <c r="G28" t="s">
        <v>18</v>
      </c>
      <c r="H28" t="s">
        <v>72</v>
      </c>
      <c r="I28" t="s">
        <v>20</v>
      </c>
      <c r="J28" t="s">
        <v>78</v>
      </c>
      <c r="K28" t="s">
        <v>22</v>
      </c>
      <c r="L28" t="s">
        <v>23</v>
      </c>
      <c r="M28">
        <v>1</v>
      </c>
      <c r="N28">
        <v>1</v>
      </c>
      <c r="O28" t="s">
        <v>29</v>
      </c>
      <c r="P28" t="s">
        <v>29</v>
      </c>
      <c r="Q28" t="s">
        <v>25</v>
      </c>
      <c r="R28">
        <v>5756</v>
      </c>
      <c r="S28" t="b">
        <f t="shared" si="0"/>
        <v>0</v>
      </c>
      <c r="T28">
        <f t="shared" si="1"/>
        <v>7796.25</v>
      </c>
      <c r="U28">
        <f t="shared" si="2"/>
        <v>13725</v>
      </c>
      <c r="V28">
        <f t="shared" si="3"/>
        <v>5928.75</v>
      </c>
      <c r="W28">
        <f t="shared" si="4"/>
        <v>-9990</v>
      </c>
      <c r="X28">
        <f t="shared" si="5"/>
        <v>31511.25</v>
      </c>
    </row>
    <row r="29" spans="1:24" x14ac:dyDescent="0.35">
      <c r="A29" t="s">
        <v>116</v>
      </c>
      <c r="B29" t="s">
        <v>80</v>
      </c>
      <c r="C29">
        <v>9</v>
      </c>
      <c r="D29" t="s">
        <v>52</v>
      </c>
      <c r="E29" t="s">
        <v>64</v>
      </c>
      <c r="F29" t="s">
        <v>65</v>
      </c>
      <c r="G29" t="s">
        <v>18</v>
      </c>
      <c r="H29" t="s">
        <v>72</v>
      </c>
      <c r="I29" t="s">
        <v>20</v>
      </c>
      <c r="J29" t="s">
        <v>78</v>
      </c>
      <c r="K29" t="s">
        <v>22</v>
      </c>
      <c r="L29" t="s">
        <v>23</v>
      </c>
      <c r="M29">
        <v>1</v>
      </c>
      <c r="N29">
        <v>1</v>
      </c>
      <c r="O29" t="s">
        <v>34</v>
      </c>
      <c r="P29" t="s">
        <v>34</v>
      </c>
      <c r="Q29" t="s">
        <v>25</v>
      </c>
      <c r="R29">
        <v>6522</v>
      </c>
      <c r="S29" t="b">
        <f t="shared" si="0"/>
        <v>0</v>
      </c>
      <c r="T29">
        <f t="shared" si="1"/>
        <v>7796.25</v>
      </c>
      <c r="U29">
        <f t="shared" si="2"/>
        <v>13725</v>
      </c>
      <c r="V29">
        <f t="shared" si="3"/>
        <v>5928.75</v>
      </c>
      <c r="W29">
        <f t="shared" si="4"/>
        <v>-9990</v>
      </c>
      <c r="X29">
        <f t="shared" si="5"/>
        <v>31511.25</v>
      </c>
    </row>
    <row r="30" spans="1:24" x14ac:dyDescent="0.35">
      <c r="A30" t="s">
        <v>117</v>
      </c>
      <c r="B30" t="s">
        <v>81</v>
      </c>
      <c r="C30">
        <v>4</v>
      </c>
      <c r="D30" t="s">
        <v>52</v>
      </c>
      <c r="E30" t="s">
        <v>64</v>
      </c>
      <c r="F30" t="s">
        <v>65</v>
      </c>
      <c r="G30" t="s">
        <v>53</v>
      </c>
      <c r="H30" t="s">
        <v>19</v>
      </c>
      <c r="I30" t="s">
        <v>55</v>
      </c>
      <c r="J30" t="s">
        <v>66</v>
      </c>
      <c r="K30" t="s">
        <v>41</v>
      </c>
      <c r="L30" t="s">
        <v>23</v>
      </c>
      <c r="M30">
        <v>1</v>
      </c>
      <c r="N30">
        <v>1</v>
      </c>
      <c r="O30" t="s">
        <v>29</v>
      </c>
      <c r="P30" t="s">
        <v>29</v>
      </c>
      <c r="Q30" t="s">
        <v>25</v>
      </c>
      <c r="R30">
        <v>20311</v>
      </c>
      <c r="S30" t="b">
        <f t="shared" si="0"/>
        <v>0</v>
      </c>
      <c r="T30">
        <f t="shared" si="1"/>
        <v>7796.25</v>
      </c>
      <c r="U30">
        <f t="shared" si="2"/>
        <v>13725</v>
      </c>
      <c r="V30">
        <f t="shared" si="3"/>
        <v>5928.75</v>
      </c>
      <c r="W30">
        <f t="shared" si="4"/>
        <v>-9990</v>
      </c>
      <c r="X30">
        <f t="shared" si="5"/>
        <v>31511.25</v>
      </c>
    </row>
    <row r="31" spans="1:24" x14ac:dyDescent="0.35">
      <c r="A31" t="s">
        <v>117</v>
      </c>
      <c r="B31" t="s">
        <v>81</v>
      </c>
      <c r="C31">
        <v>9</v>
      </c>
      <c r="D31" t="s">
        <v>52</v>
      </c>
      <c r="E31" t="s">
        <v>64</v>
      </c>
      <c r="F31" t="s">
        <v>65</v>
      </c>
      <c r="G31" t="s">
        <v>53</v>
      </c>
      <c r="H31" t="s">
        <v>19</v>
      </c>
      <c r="I31" t="s">
        <v>55</v>
      </c>
      <c r="J31" t="s">
        <v>66</v>
      </c>
      <c r="K31" t="s">
        <v>41</v>
      </c>
      <c r="L31" t="s">
        <v>23</v>
      </c>
      <c r="M31">
        <v>1</v>
      </c>
      <c r="N31">
        <v>1</v>
      </c>
      <c r="O31" t="s">
        <v>34</v>
      </c>
      <c r="P31" t="s">
        <v>34</v>
      </c>
      <c r="Q31" t="s">
        <v>25</v>
      </c>
      <c r="R31">
        <v>22584</v>
      </c>
      <c r="S31" t="b">
        <f t="shared" si="0"/>
        <v>0</v>
      </c>
      <c r="T31">
        <f t="shared" si="1"/>
        <v>7796.25</v>
      </c>
      <c r="U31">
        <f t="shared" si="2"/>
        <v>13725</v>
      </c>
      <c r="V31">
        <f t="shared" si="3"/>
        <v>5928.75</v>
      </c>
      <c r="W31">
        <f t="shared" si="4"/>
        <v>-9990</v>
      </c>
      <c r="X31">
        <f t="shared" si="5"/>
        <v>31511.25</v>
      </c>
    </row>
    <row r="32" spans="1:24" x14ac:dyDescent="0.35">
      <c r="A32" t="s">
        <v>118</v>
      </c>
      <c r="B32" t="s">
        <v>84</v>
      </c>
      <c r="C32">
        <v>4</v>
      </c>
      <c r="D32" t="s">
        <v>15</v>
      </c>
      <c r="E32" t="s">
        <v>64</v>
      </c>
      <c r="F32" t="s">
        <v>65</v>
      </c>
      <c r="G32" t="s">
        <v>53</v>
      </c>
      <c r="H32" t="s">
        <v>82</v>
      </c>
      <c r="I32" t="s">
        <v>20</v>
      </c>
      <c r="J32" t="s">
        <v>83</v>
      </c>
      <c r="K32" t="s">
        <v>61</v>
      </c>
      <c r="L32" t="s">
        <v>23</v>
      </c>
      <c r="M32">
        <v>1</v>
      </c>
      <c r="N32">
        <v>1</v>
      </c>
      <c r="O32" t="s">
        <v>29</v>
      </c>
      <c r="P32" t="s">
        <v>29</v>
      </c>
      <c r="Q32" t="s">
        <v>25</v>
      </c>
      <c r="R32">
        <v>14629</v>
      </c>
      <c r="S32" t="b">
        <f t="shared" si="0"/>
        <v>0</v>
      </c>
      <c r="T32">
        <f t="shared" si="1"/>
        <v>7796.25</v>
      </c>
      <c r="U32">
        <f t="shared" si="2"/>
        <v>13725</v>
      </c>
      <c r="V32">
        <f t="shared" si="3"/>
        <v>5928.75</v>
      </c>
      <c r="W32">
        <f t="shared" si="4"/>
        <v>-9990</v>
      </c>
      <c r="X32">
        <f t="shared" si="5"/>
        <v>31511.25</v>
      </c>
    </row>
    <row r="33" spans="1:24" x14ac:dyDescent="0.35">
      <c r="A33" t="s">
        <v>118</v>
      </c>
      <c r="B33" t="s">
        <v>84</v>
      </c>
      <c r="C33">
        <v>9</v>
      </c>
      <c r="D33" t="s">
        <v>15</v>
      </c>
      <c r="E33" t="s">
        <v>64</v>
      </c>
      <c r="F33" t="s">
        <v>65</v>
      </c>
      <c r="G33" t="s">
        <v>53</v>
      </c>
      <c r="H33" t="s">
        <v>82</v>
      </c>
      <c r="I33" t="s">
        <v>20</v>
      </c>
      <c r="J33" t="s">
        <v>83</v>
      </c>
      <c r="K33" t="s">
        <v>61</v>
      </c>
      <c r="L33" t="s">
        <v>23</v>
      </c>
      <c r="M33">
        <v>1</v>
      </c>
      <c r="N33">
        <v>1</v>
      </c>
      <c r="O33" t="s">
        <v>34</v>
      </c>
      <c r="P33" t="s">
        <v>34</v>
      </c>
      <c r="Q33" t="s">
        <v>25</v>
      </c>
      <c r="R33">
        <v>9670</v>
      </c>
      <c r="S33" t="b">
        <f t="shared" si="0"/>
        <v>0</v>
      </c>
      <c r="T33">
        <f t="shared" si="1"/>
        <v>7796.25</v>
      </c>
      <c r="U33">
        <f t="shared" si="2"/>
        <v>13725</v>
      </c>
      <c r="V33">
        <f t="shared" si="3"/>
        <v>5928.75</v>
      </c>
      <c r="W33">
        <f t="shared" si="4"/>
        <v>-9990</v>
      </c>
      <c r="X33">
        <f t="shared" si="5"/>
        <v>31511.25</v>
      </c>
    </row>
    <row r="34" spans="1:24" x14ac:dyDescent="0.35">
      <c r="A34" t="s">
        <v>119</v>
      </c>
      <c r="B34" t="s">
        <v>87</v>
      </c>
      <c r="C34">
        <v>4</v>
      </c>
      <c r="D34" t="s">
        <v>52</v>
      </c>
      <c r="E34" t="s">
        <v>64</v>
      </c>
      <c r="F34" t="s">
        <v>65</v>
      </c>
      <c r="G34" t="s">
        <v>85</v>
      </c>
      <c r="H34" t="s">
        <v>54</v>
      </c>
      <c r="I34" t="s">
        <v>55</v>
      </c>
      <c r="J34" t="s">
        <v>21</v>
      </c>
      <c r="K34" t="s">
        <v>41</v>
      </c>
      <c r="L34" t="s">
        <v>23</v>
      </c>
      <c r="M34">
        <v>1</v>
      </c>
      <c r="N34">
        <v>1</v>
      </c>
      <c r="O34" t="s">
        <v>29</v>
      </c>
      <c r="P34" t="s">
        <v>29</v>
      </c>
      <c r="Q34" t="s">
        <v>25</v>
      </c>
      <c r="R34">
        <v>16404</v>
      </c>
      <c r="S34" t="b">
        <f t="shared" si="0"/>
        <v>0</v>
      </c>
      <c r="T34">
        <f t="shared" si="1"/>
        <v>7796.25</v>
      </c>
      <c r="U34">
        <f t="shared" si="2"/>
        <v>13725</v>
      </c>
      <c r="V34">
        <f t="shared" si="3"/>
        <v>5928.75</v>
      </c>
      <c r="W34">
        <f t="shared" si="4"/>
        <v>-9990</v>
      </c>
      <c r="X34">
        <f t="shared" si="5"/>
        <v>31511.25</v>
      </c>
    </row>
    <row r="35" spans="1:24" x14ac:dyDescent="0.35">
      <c r="A35" t="s">
        <v>119</v>
      </c>
      <c r="B35" t="s">
        <v>87</v>
      </c>
      <c r="C35">
        <v>9</v>
      </c>
      <c r="D35" t="s">
        <v>52</v>
      </c>
      <c r="E35" t="s">
        <v>64</v>
      </c>
      <c r="F35" t="s">
        <v>65</v>
      </c>
      <c r="G35" t="s">
        <v>85</v>
      </c>
      <c r="H35" t="s">
        <v>54</v>
      </c>
      <c r="I35" t="s">
        <v>55</v>
      </c>
      <c r="J35" t="s">
        <v>21</v>
      </c>
      <c r="K35" t="s">
        <v>41</v>
      </c>
      <c r="L35" t="s">
        <v>23</v>
      </c>
      <c r="M35">
        <v>1</v>
      </c>
      <c r="N35">
        <v>1</v>
      </c>
      <c r="O35" t="s">
        <v>34</v>
      </c>
      <c r="P35" t="s">
        <v>34</v>
      </c>
      <c r="Q35" t="s">
        <v>25</v>
      </c>
      <c r="R35">
        <v>15234</v>
      </c>
      <c r="S35" t="b">
        <f t="shared" si="0"/>
        <v>0</v>
      </c>
      <c r="T35">
        <f t="shared" si="1"/>
        <v>7796.25</v>
      </c>
      <c r="U35">
        <f t="shared" si="2"/>
        <v>13725</v>
      </c>
      <c r="V35">
        <f t="shared" si="3"/>
        <v>5928.75</v>
      </c>
      <c r="W35">
        <f t="shared" si="4"/>
        <v>-9990</v>
      </c>
      <c r="X35">
        <f t="shared" si="5"/>
        <v>31511.25</v>
      </c>
    </row>
    <row r="36" spans="1:24" x14ac:dyDescent="0.35">
      <c r="A36" t="s">
        <v>120</v>
      </c>
      <c r="B36" t="s">
        <v>90</v>
      </c>
      <c r="C36">
        <v>4</v>
      </c>
      <c r="D36" t="s">
        <v>40</v>
      </c>
      <c r="E36" t="s">
        <v>64</v>
      </c>
      <c r="F36" t="s">
        <v>65</v>
      </c>
      <c r="G36" t="s">
        <v>18</v>
      </c>
      <c r="H36" t="s">
        <v>19</v>
      </c>
      <c r="I36" t="s">
        <v>88</v>
      </c>
      <c r="J36" t="s">
        <v>89</v>
      </c>
      <c r="K36" t="s">
        <v>41</v>
      </c>
      <c r="L36" t="s">
        <v>23</v>
      </c>
      <c r="M36">
        <v>1</v>
      </c>
      <c r="N36">
        <v>1</v>
      </c>
      <c r="O36" t="s">
        <v>29</v>
      </c>
      <c r="P36" t="s">
        <v>29</v>
      </c>
      <c r="Q36" t="s">
        <v>25</v>
      </c>
      <c r="R36">
        <v>10767</v>
      </c>
      <c r="S36" t="b">
        <f t="shared" si="0"/>
        <v>0</v>
      </c>
      <c r="T36">
        <f t="shared" si="1"/>
        <v>7796.25</v>
      </c>
      <c r="U36">
        <f t="shared" si="2"/>
        <v>13725</v>
      </c>
      <c r="V36">
        <f t="shared" si="3"/>
        <v>5928.75</v>
      </c>
      <c r="W36">
        <f t="shared" si="4"/>
        <v>-9990</v>
      </c>
      <c r="X36">
        <f t="shared" si="5"/>
        <v>31511.25</v>
      </c>
    </row>
    <row r="37" spans="1:24" x14ac:dyDescent="0.35">
      <c r="A37" t="s">
        <v>120</v>
      </c>
      <c r="B37" t="s">
        <v>90</v>
      </c>
      <c r="C37">
        <v>9</v>
      </c>
      <c r="D37" t="s">
        <v>40</v>
      </c>
      <c r="E37" t="s">
        <v>64</v>
      </c>
      <c r="F37" t="s">
        <v>65</v>
      </c>
      <c r="G37" t="s">
        <v>18</v>
      </c>
      <c r="H37" t="s">
        <v>19</v>
      </c>
      <c r="I37" t="s">
        <v>88</v>
      </c>
      <c r="J37" t="s">
        <v>89</v>
      </c>
      <c r="K37" t="s">
        <v>41</v>
      </c>
      <c r="L37" t="s">
        <v>23</v>
      </c>
      <c r="M37">
        <v>1</v>
      </c>
      <c r="N37">
        <v>1</v>
      </c>
      <c r="O37" t="s">
        <v>34</v>
      </c>
      <c r="P37" t="s">
        <v>34</v>
      </c>
      <c r="Q37" t="s">
        <v>25</v>
      </c>
      <c r="R37">
        <v>11145</v>
      </c>
      <c r="S37" t="b">
        <f t="shared" si="0"/>
        <v>0</v>
      </c>
      <c r="T37">
        <f t="shared" si="1"/>
        <v>7796.25</v>
      </c>
      <c r="U37">
        <f t="shared" si="2"/>
        <v>13725</v>
      </c>
      <c r="V37">
        <f t="shared" si="3"/>
        <v>5928.75</v>
      </c>
      <c r="W37">
        <f t="shared" si="4"/>
        <v>-9990</v>
      </c>
      <c r="X37">
        <f t="shared" si="5"/>
        <v>31511.25</v>
      </c>
    </row>
    <row r="38" spans="1:24" x14ac:dyDescent="0.35">
      <c r="A38" t="s">
        <v>121</v>
      </c>
      <c r="B38" t="s">
        <v>91</v>
      </c>
      <c r="C38">
        <v>4</v>
      </c>
      <c r="D38" t="s">
        <v>15</v>
      </c>
      <c r="E38" t="s">
        <v>64</v>
      </c>
      <c r="F38" t="s">
        <v>65</v>
      </c>
      <c r="G38" t="s">
        <v>18</v>
      </c>
      <c r="H38" t="s">
        <v>68</v>
      </c>
      <c r="I38" t="s">
        <v>20</v>
      </c>
      <c r="J38" t="s">
        <v>66</v>
      </c>
      <c r="K38" t="s">
        <v>41</v>
      </c>
      <c r="L38" t="s">
        <v>23</v>
      </c>
      <c r="M38">
        <v>1</v>
      </c>
      <c r="N38">
        <v>1</v>
      </c>
      <c r="O38" t="s">
        <v>29</v>
      </c>
      <c r="P38" t="s">
        <v>29</v>
      </c>
      <c r="Q38" t="s">
        <v>25</v>
      </c>
      <c r="R38">
        <v>10668</v>
      </c>
      <c r="S38" t="b">
        <f t="shared" si="0"/>
        <v>0</v>
      </c>
      <c r="T38">
        <f t="shared" si="1"/>
        <v>7796.25</v>
      </c>
      <c r="U38">
        <f t="shared" si="2"/>
        <v>13725</v>
      </c>
      <c r="V38">
        <f t="shared" si="3"/>
        <v>5928.75</v>
      </c>
      <c r="W38">
        <f t="shared" si="4"/>
        <v>-9990</v>
      </c>
      <c r="X38">
        <f t="shared" si="5"/>
        <v>31511.25</v>
      </c>
    </row>
    <row r="39" spans="1:24" x14ac:dyDescent="0.35">
      <c r="A39" t="s">
        <v>121</v>
      </c>
      <c r="B39" t="s">
        <v>91</v>
      </c>
      <c r="C39">
        <v>9</v>
      </c>
      <c r="D39" t="s">
        <v>15</v>
      </c>
      <c r="E39" t="s">
        <v>64</v>
      </c>
      <c r="F39" t="s">
        <v>65</v>
      </c>
      <c r="G39" t="s">
        <v>18</v>
      </c>
      <c r="H39" t="s">
        <v>68</v>
      </c>
      <c r="I39" t="s">
        <v>20</v>
      </c>
      <c r="J39" t="s">
        <v>66</v>
      </c>
      <c r="K39" t="s">
        <v>41</v>
      </c>
      <c r="L39" t="s">
        <v>23</v>
      </c>
      <c r="M39">
        <v>1</v>
      </c>
      <c r="N39">
        <v>1</v>
      </c>
      <c r="O39" t="s">
        <v>34</v>
      </c>
      <c r="P39" t="s">
        <v>34</v>
      </c>
      <c r="Q39" t="s">
        <v>25</v>
      </c>
      <c r="R39">
        <v>10124</v>
      </c>
      <c r="S39" t="b">
        <f t="shared" si="0"/>
        <v>0</v>
      </c>
      <c r="T39">
        <f t="shared" si="1"/>
        <v>7796.25</v>
      </c>
      <c r="U39">
        <f t="shared" si="2"/>
        <v>13725</v>
      </c>
      <c r="V39">
        <f t="shared" si="3"/>
        <v>5928.75</v>
      </c>
      <c r="W39">
        <f t="shared" si="4"/>
        <v>-9990</v>
      </c>
      <c r="X39">
        <f t="shared" si="5"/>
        <v>31511.25</v>
      </c>
    </row>
    <row r="40" spans="1:24" x14ac:dyDescent="0.35">
      <c r="A40" t="s">
        <v>122</v>
      </c>
      <c r="B40" t="s">
        <v>92</v>
      </c>
      <c r="C40">
        <v>4</v>
      </c>
      <c r="D40" t="s">
        <v>40</v>
      </c>
      <c r="E40" t="s">
        <v>64</v>
      </c>
      <c r="F40" t="s">
        <v>65</v>
      </c>
      <c r="G40" t="s">
        <v>18</v>
      </c>
      <c r="H40" t="s">
        <v>54</v>
      </c>
      <c r="I40" t="s">
        <v>55</v>
      </c>
      <c r="J40" t="s">
        <v>78</v>
      </c>
      <c r="K40" t="s">
        <v>41</v>
      </c>
      <c r="L40" t="s">
        <v>23</v>
      </c>
      <c r="M40">
        <v>1</v>
      </c>
      <c r="N40">
        <v>1</v>
      </c>
      <c r="O40" t="s">
        <v>29</v>
      </c>
      <c r="P40" t="s">
        <v>29</v>
      </c>
      <c r="Q40" t="s">
        <v>25</v>
      </c>
      <c r="R40">
        <v>5019</v>
      </c>
      <c r="S40" t="b">
        <f t="shared" si="0"/>
        <v>0</v>
      </c>
      <c r="T40">
        <f t="shared" si="1"/>
        <v>7796.25</v>
      </c>
      <c r="U40">
        <f t="shared" si="2"/>
        <v>13725</v>
      </c>
      <c r="V40">
        <f t="shared" si="3"/>
        <v>5928.75</v>
      </c>
      <c r="W40">
        <f t="shared" si="4"/>
        <v>-9990</v>
      </c>
      <c r="X40">
        <f t="shared" si="5"/>
        <v>31511.25</v>
      </c>
    </row>
    <row r="41" spans="1:24" x14ac:dyDescent="0.35">
      <c r="A41" t="s">
        <v>122</v>
      </c>
      <c r="B41" t="s">
        <v>92</v>
      </c>
      <c r="C41">
        <v>9</v>
      </c>
      <c r="D41" t="s">
        <v>40</v>
      </c>
      <c r="E41" t="s">
        <v>64</v>
      </c>
      <c r="F41" t="s">
        <v>65</v>
      </c>
      <c r="G41" t="s">
        <v>18</v>
      </c>
      <c r="H41" t="s">
        <v>54</v>
      </c>
      <c r="I41" t="s">
        <v>55</v>
      </c>
      <c r="J41" t="s">
        <v>78</v>
      </c>
      <c r="K41" t="s">
        <v>41</v>
      </c>
      <c r="L41" t="s">
        <v>23</v>
      </c>
      <c r="M41">
        <v>1</v>
      </c>
      <c r="N41">
        <v>1</v>
      </c>
      <c r="O41" t="s">
        <v>34</v>
      </c>
      <c r="P41" t="s">
        <v>34</v>
      </c>
      <c r="Q41" t="s">
        <v>25</v>
      </c>
      <c r="R41">
        <v>6565</v>
      </c>
      <c r="S41" t="b">
        <f t="shared" si="0"/>
        <v>0</v>
      </c>
      <c r="T41">
        <f t="shared" si="1"/>
        <v>7796.25</v>
      </c>
      <c r="U41">
        <f t="shared" si="2"/>
        <v>13725</v>
      </c>
      <c r="V41">
        <f t="shared" si="3"/>
        <v>5928.75</v>
      </c>
      <c r="W41">
        <f t="shared" si="4"/>
        <v>-9990</v>
      </c>
      <c r="X41">
        <f t="shared" si="5"/>
        <v>31511.25</v>
      </c>
    </row>
    <row r="42" spans="1:24" x14ac:dyDescent="0.35">
      <c r="A42" t="s">
        <v>123</v>
      </c>
      <c r="B42" t="s">
        <v>94</v>
      </c>
      <c r="C42">
        <v>4</v>
      </c>
      <c r="D42" t="s">
        <v>40</v>
      </c>
      <c r="E42" t="s">
        <v>16</v>
      </c>
      <c r="F42" t="s">
        <v>17</v>
      </c>
      <c r="G42" t="s">
        <v>53</v>
      </c>
      <c r="H42" t="s">
        <v>54</v>
      </c>
      <c r="I42" t="s">
        <v>20</v>
      </c>
      <c r="J42" t="s">
        <v>21</v>
      </c>
      <c r="K42" t="s">
        <v>41</v>
      </c>
      <c r="L42" t="s">
        <v>23</v>
      </c>
      <c r="M42">
        <v>1</v>
      </c>
      <c r="N42">
        <v>1</v>
      </c>
      <c r="O42" t="s">
        <v>29</v>
      </c>
      <c r="P42" t="s">
        <v>29</v>
      </c>
      <c r="Q42" t="s">
        <v>25</v>
      </c>
      <c r="R42">
        <v>13512</v>
      </c>
      <c r="S42" t="b">
        <f t="shared" si="0"/>
        <v>0</v>
      </c>
      <c r="T42">
        <f t="shared" si="1"/>
        <v>7796.25</v>
      </c>
      <c r="U42">
        <f t="shared" si="2"/>
        <v>13725</v>
      </c>
      <c r="V42">
        <f t="shared" si="3"/>
        <v>5928.75</v>
      </c>
      <c r="W42">
        <f t="shared" si="4"/>
        <v>-9990</v>
      </c>
      <c r="X42">
        <f t="shared" si="5"/>
        <v>31511.25</v>
      </c>
    </row>
    <row r="43" spans="1:24" x14ac:dyDescent="0.35">
      <c r="A43" t="s">
        <v>123</v>
      </c>
      <c r="B43" t="s">
        <v>94</v>
      </c>
      <c r="C43">
        <v>9</v>
      </c>
      <c r="D43" t="s">
        <v>40</v>
      </c>
      <c r="E43" t="s">
        <v>16</v>
      </c>
      <c r="F43" t="s">
        <v>17</v>
      </c>
      <c r="G43" t="s">
        <v>53</v>
      </c>
      <c r="H43" t="s">
        <v>54</v>
      </c>
      <c r="I43" t="s">
        <v>20</v>
      </c>
      <c r="J43" t="s">
        <v>21</v>
      </c>
      <c r="K43" t="s">
        <v>41</v>
      </c>
      <c r="L43" t="s">
        <v>23</v>
      </c>
      <c r="M43">
        <v>1</v>
      </c>
      <c r="N43">
        <v>1</v>
      </c>
      <c r="O43" t="s">
        <v>34</v>
      </c>
      <c r="P43" t="s">
        <v>34</v>
      </c>
      <c r="Q43" t="s">
        <v>25</v>
      </c>
      <c r="R43">
        <v>11529</v>
      </c>
      <c r="S43" t="b">
        <f t="shared" si="0"/>
        <v>0</v>
      </c>
      <c r="T43">
        <f t="shared" si="1"/>
        <v>7796.25</v>
      </c>
      <c r="U43">
        <f t="shared" si="2"/>
        <v>13725</v>
      </c>
      <c r="V43">
        <f t="shared" si="3"/>
        <v>5928.75</v>
      </c>
      <c r="W43">
        <f t="shared" si="4"/>
        <v>-9990</v>
      </c>
      <c r="X43">
        <f t="shared" si="5"/>
        <v>31511.25</v>
      </c>
    </row>
    <row r="44" spans="1:24" x14ac:dyDescent="0.35">
      <c r="A44" t="s">
        <v>124</v>
      </c>
      <c r="B44" t="s">
        <v>101</v>
      </c>
      <c r="C44">
        <v>4</v>
      </c>
      <c r="D44" t="s">
        <v>15</v>
      </c>
      <c r="E44" t="s">
        <v>64</v>
      </c>
      <c r="F44" t="s">
        <v>65</v>
      </c>
      <c r="G44" t="s">
        <v>53</v>
      </c>
      <c r="H44" t="s">
        <v>82</v>
      </c>
      <c r="I44" t="s">
        <v>55</v>
      </c>
      <c r="J44" t="s">
        <v>83</v>
      </c>
      <c r="K44" t="s">
        <v>22</v>
      </c>
      <c r="L44" t="s">
        <v>23</v>
      </c>
      <c r="M44">
        <v>1</v>
      </c>
      <c r="N44">
        <v>1</v>
      </c>
      <c r="O44" t="s">
        <v>29</v>
      </c>
      <c r="P44" t="s">
        <v>29</v>
      </c>
      <c r="Q44" t="s">
        <v>25</v>
      </c>
      <c r="R44">
        <v>11894</v>
      </c>
      <c r="S44" t="b">
        <f>OR(R44&lt;W44,R44&gt;X44)</f>
        <v>0</v>
      </c>
      <c r="T44">
        <f t="shared" ref="T44:T45" si="6">T43</f>
        <v>7796.25</v>
      </c>
      <c r="U44">
        <f t="shared" ref="U44:U45" si="7">U43</f>
        <v>13725</v>
      </c>
      <c r="V44">
        <f t="shared" ref="V44:V45" si="8">V43</f>
        <v>5928.75</v>
      </c>
      <c r="W44">
        <f t="shared" ref="W44:W45" si="9">W43</f>
        <v>-9990</v>
      </c>
      <c r="X44">
        <f t="shared" ref="X44:X45" si="10">X43</f>
        <v>31511.25</v>
      </c>
    </row>
    <row r="45" spans="1:24" x14ac:dyDescent="0.35">
      <c r="A45" t="s">
        <v>124</v>
      </c>
      <c r="B45" t="s">
        <v>101</v>
      </c>
      <c r="C45">
        <v>9</v>
      </c>
      <c r="D45" t="s">
        <v>15</v>
      </c>
      <c r="E45" t="s">
        <v>64</v>
      </c>
      <c r="F45" t="s">
        <v>65</v>
      </c>
      <c r="G45" t="s">
        <v>53</v>
      </c>
      <c r="H45" t="s">
        <v>82</v>
      </c>
      <c r="I45" t="s">
        <v>55</v>
      </c>
      <c r="J45" t="s">
        <v>83</v>
      </c>
      <c r="K45" t="s">
        <v>22</v>
      </c>
      <c r="L45" t="s">
        <v>23</v>
      </c>
      <c r="M45">
        <v>1</v>
      </c>
      <c r="N45">
        <v>1</v>
      </c>
      <c r="O45" t="s">
        <v>34</v>
      </c>
      <c r="P45" t="s">
        <v>34</v>
      </c>
      <c r="Q45" t="s">
        <v>25</v>
      </c>
      <c r="R45">
        <v>8775</v>
      </c>
      <c r="S45" t="b">
        <f t="shared" ref="S45" si="11">OR(R45&lt;W45,R45&gt;X45)</f>
        <v>0</v>
      </c>
      <c r="T45">
        <f t="shared" si="6"/>
        <v>7796.25</v>
      </c>
      <c r="U45">
        <f t="shared" si="7"/>
        <v>13725</v>
      </c>
      <c r="V45">
        <f t="shared" si="8"/>
        <v>5928.75</v>
      </c>
      <c r="W45">
        <f t="shared" si="9"/>
        <v>-9990</v>
      </c>
      <c r="X45">
        <f t="shared" si="10"/>
        <v>31511.25</v>
      </c>
    </row>
    <row r="46" spans="1:24" x14ac:dyDescent="0.35">
      <c r="A46" t="s">
        <v>103</v>
      </c>
      <c r="B46" t="s">
        <v>39</v>
      </c>
      <c r="C46">
        <v>6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  <c r="M46">
        <v>3</v>
      </c>
      <c r="N46">
        <v>1</v>
      </c>
      <c r="O46" t="s">
        <v>31</v>
      </c>
      <c r="P46" t="s">
        <v>31</v>
      </c>
      <c r="Q46" t="s">
        <v>25</v>
      </c>
      <c r="R46">
        <v>26909</v>
      </c>
      <c r="S46" t="b">
        <f>OR(R46&lt;W46,R46&gt;X46)</f>
        <v>0</v>
      </c>
      <c r="T46">
        <f>_xlfn.PERCENTILE.INC(R46:R87,0.25)</f>
        <v>20939</v>
      </c>
      <c r="U46">
        <f>_xlfn.PERCENTILE.INC(R46:R87,0.75)</f>
        <v>28096.75</v>
      </c>
      <c r="V46">
        <f>U46-T46</f>
        <v>7157.75</v>
      </c>
      <c r="W46">
        <f>T46-(3*V46)</f>
        <v>-534.25</v>
      </c>
      <c r="X46">
        <f>U46+(3*V46)</f>
        <v>49570</v>
      </c>
    </row>
    <row r="47" spans="1:24" x14ac:dyDescent="0.35">
      <c r="A47" t="s">
        <v>103</v>
      </c>
      <c r="B47" t="s">
        <v>39</v>
      </c>
      <c r="C47">
        <v>12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  <c r="M47">
        <v>3</v>
      </c>
      <c r="N47">
        <v>1</v>
      </c>
      <c r="O47" t="s">
        <v>37</v>
      </c>
      <c r="P47" t="s">
        <v>37</v>
      </c>
      <c r="Q47" t="s">
        <v>25</v>
      </c>
      <c r="R47">
        <v>21608</v>
      </c>
      <c r="S47" t="b">
        <f t="shared" ref="S47:S87" si="12">OR(R47&lt;W47,R47&gt;X47)</f>
        <v>0</v>
      </c>
      <c r="T47">
        <f>T46</f>
        <v>20939</v>
      </c>
      <c r="U47">
        <f>U46</f>
        <v>28096.75</v>
      </c>
      <c r="V47">
        <f>V46</f>
        <v>7157.75</v>
      </c>
      <c r="W47">
        <f>W46</f>
        <v>-534.25</v>
      </c>
      <c r="X47">
        <f>X46</f>
        <v>49570</v>
      </c>
    </row>
    <row r="48" spans="1:24" x14ac:dyDescent="0.35">
      <c r="A48" t="s">
        <v>104</v>
      </c>
      <c r="B48" t="s">
        <v>51</v>
      </c>
      <c r="C48">
        <v>6</v>
      </c>
      <c r="D48" t="s">
        <v>40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41</v>
      </c>
      <c r="L48" t="s">
        <v>23</v>
      </c>
      <c r="M48">
        <v>3</v>
      </c>
      <c r="N48">
        <v>1</v>
      </c>
      <c r="O48" t="s">
        <v>31</v>
      </c>
      <c r="P48" t="s">
        <v>47</v>
      </c>
      <c r="Q48" t="s">
        <v>43</v>
      </c>
      <c r="R48">
        <v>29022</v>
      </c>
      <c r="S48" t="b">
        <f t="shared" si="12"/>
        <v>0</v>
      </c>
      <c r="T48">
        <f t="shared" ref="T48:T89" si="13">T47</f>
        <v>20939</v>
      </c>
      <c r="U48">
        <f t="shared" ref="U48:U89" si="14">U47</f>
        <v>28096.75</v>
      </c>
      <c r="V48">
        <f t="shared" ref="V48:V89" si="15">V47</f>
        <v>7157.75</v>
      </c>
      <c r="W48">
        <f t="shared" ref="W48:W89" si="16">W47</f>
        <v>-534.25</v>
      </c>
      <c r="X48">
        <f t="shared" ref="X48:X89" si="17">X47</f>
        <v>49570</v>
      </c>
    </row>
    <row r="49" spans="1:24" x14ac:dyDescent="0.35">
      <c r="A49" t="s">
        <v>104</v>
      </c>
      <c r="B49" t="s">
        <v>51</v>
      </c>
      <c r="C49">
        <v>12</v>
      </c>
      <c r="D49" t="s">
        <v>40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41</v>
      </c>
      <c r="L49" t="s">
        <v>23</v>
      </c>
      <c r="M49">
        <v>3</v>
      </c>
      <c r="N49">
        <v>1</v>
      </c>
      <c r="O49" t="s">
        <v>37</v>
      </c>
      <c r="P49" t="s">
        <v>50</v>
      </c>
      <c r="Q49" t="s">
        <v>43</v>
      </c>
      <c r="R49">
        <v>24167</v>
      </c>
      <c r="S49" t="b">
        <f t="shared" si="12"/>
        <v>0</v>
      </c>
      <c r="T49">
        <f t="shared" si="13"/>
        <v>20939</v>
      </c>
      <c r="U49">
        <f t="shared" si="14"/>
        <v>28096.75</v>
      </c>
      <c r="V49">
        <f t="shared" si="15"/>
        <v>7157.75</v>
      </c>
      <c r="W49">
        <f t="shared" si="16"/>
        <v>-534.25</v>
      </c>
      <c r="X49">
        <f t="shared" si="17"/>
        <v>49570</v>
      </c>
    </row>
    <row r="50" spans="1:24" x14ac:dyDescent="0.35">
      <c r="A50" t="s">
        <v>105</v>
      </c>
      <c r="B50" t="s">
        <v>58</v>
      </c>
      <c r="C50">
        <v>6</v>
      </c>
      <c r="D50" t="s">
        <v>52</v>
      </c>
      <c r="E50" t="s">
        <v>16</v>
      </c>
      <c r="F50" t="s">
        <v>17</v>
      </c>
      <c r="G50" t="s">
        <v>53</v>
      </c>
      <c r="H50" t="s">
        <v>54</v>
      </c>
      <c r="I50" t="s">
        <v>55</v>
      </c>
      <c r="J50" t="s">
        <v>56</v>
      </c>
      <c r="K50" t="s">
        <v>22</v>
      </c>
      <c r="L50" t="s">
        <v>23</v>
      </c>
      <c r="M50">
        <v>3</v>
      </c>
      <c r="N50">
        <v>1</v>
      </c>
      <c r="O50" t="s">
        <v>31</v>
      </c>
      <c r="P50" t="s">
        <v>31</v>
      </c>
      <c r="Q50" t="s">
        <v>25</v>
      </c>
      <c r="R50">
        <v>28350</v>
      </c>
      <c r="S50" t="b">
        <f t="shared" si="12"/>
        <v>0</v>
      </c>
      <c r="T50">
        <f t="shared" si="13"/>
        <v>20939</v>
      </c>
      <c r="U50">
        <f t="shared" si="14"/>
        <v>28096.75</v>
      </c>
      <c r="V50">
        <f t="shared" si="15"/>
        <v>7157.75</v>
      </c>
      <c r="W50">
        <f t="shared" si="16"/>
        <v>-534.25</v>
      </c>
      <c r="X50">
        <f t="shared" si="17"/>
        <v>49570</v>
      </c>
    </row>
    <row r="51" spans="1:24" x14ac:dyDescent="0.35">
      <c r="A51" t="s">
        <v>105</v>
      </c>
      <c r="B51" t="s">
        <v>58</v>
      </c>
      <c r="C51">
        <v>12</v>
      </c>
      <c r="D51" t="s">
        <v>52</v>
      </c>
      <c r="E51" t="s">
        <v>16</v>
      </c>
      <c r="F51" t="s">
        <v>17</v>
      </c>
      <c r="G51" t="s">
        <v>53</v>
      </c>
      <c r="H51" t="s">
        <v>54</v>
      </c>
      <c r="I51" t="s">
        <v>55</v>
      </c>
      <c r="J51" t="s">
        <v>56</v>
      </c>
      <c r="K51" t="s">
        <v>22</v>
      </c>
      <c r="L51" t="s">
        <v>23</v>
      </c>
      <c r="M51">
        <v>3</v>
      </c>
      <c r="N51">
        <v>1</v>
      </c>
      <c r="O51" t="s">
        <v>37</v>
      </c>
      <c r="P51" t="s">
        <v>37</v>
      </c>
      <c r="Q51" t="s">
        <v>25</v>
      </c>
      <c r="R51">
        <v>34350</v>
      </c>
      <c r="S51" t="b">
        <f t="shared" si="12"/>
        <v>0</v>
      </c>
      <c r="T51">
        <f t="shared" si="13"/>
        <v>20939</v>
      </c>
      <c r="U51">
        <f t="shared" si="14"/>
        <v>28096.75</v>
      </c>
      <c r="V51">
        <f t="shared" si="15"/>
        <v>7157.75</v>
      </c>
      <c r="W51">
        <f t="shared" si="16"/>
        <v>-534.25</v>
      </c>
      <c r="X51">
        <f t="shared" si="17"/>
        <v>49570</v>
      </c>
    </row>
    <row r="52" spans="1:24" x14ac:dyDescent="0.35">
      <c r="A52" t="s">
        <v>106</v>
      </c>
      <c r="B52" t="s">
        <v>60</v>
      </c>
      <c r="C52">
        <v>6</v>
      </c>
      <c r="D52" t="s">
        <v>59</v>
      </c>
      <c r="E52" t="s">
        <v>16</v>
      </c>
      <c r="F52" t="s">
        <v>17</v>
      </c>
      <c r="G52" t="s">
        <v>18</v>
      </c>
      <c r="H52" t="s">
        <v>54</v>
      </c>
      <c r="I52" t="s">
        <v>55</v>
      </c>
      <c r="J52" t="s">
        <v>21</v>
      </c>
      <c r="K52" t="s">
        <v>22</v>
      </c>
      <c r="L52" t="s">
        <v>23</v>
      </c>
      <c r="M52">
        <v>3</v>
      </c>
      <c r="N52">
        <v>1</v>
      </c>
      <c r="O52" t="s">
        <v>31</v>
      </c>
      <c r="P52" t="s">
        <v>31</v>
      </c>
      <c r="Q52" t="s">
        <v>25</v>
      </c>
      <c r="R52">
        <v>29110</v>
      </c>
      <c r="S52" t="b">
        <f t="shared" si="12"/>
        <v>0</v>
      </c>
      <c r="T52">
        <f t="shared" si="13"/>
        <v>20939</v>
      </c>
      <c r="U52">
        <f t="shared" si="14"/>
        <v>28096.75</v>
      </c>
      <c r="V52">
        <f t="shared" si="15"/>
        <v>7157.75</v>
      </c>
      <c r="W52">
        <f t="shared" si="16"/>
        <v>-534.25</v>
      </c>
      <c r="X52">
        <f t="shared" si="17"/>
        <v>49570</v>
      </c>
    </row>
    <row r="53" spans="1:24" x14ac:dyDescent="0.35">
      <c r="A53" t="s">
        <v>106</v>
      </c>
      <c r="B53" t="s">
        <v>60</v>
      </c>
      <c r="C53">
        <v>12</v>
      </c>
      <c r="D53" t="s">
        <v>59</v>
      </c>
      <c r="E53" t="s">
        <v>16</v>
      </c>
      <c r="F53" t="s">
        <v>17</v>
      </c>
      <c r="G53" t="s">
        <v>18</v>
      </c>
      <c r="H53" t="s">
        <v>54</v>
      </c>
      <c r="I53" t="s">
        <v>55</v>
      </c>
      <c r="J53" t="s">
        <v>21</v>
      </c>
      <c r="K53" t="s">
        <v>22</v>
      </c>
      <c r="L53" t="s">
        <v>23</v>
      </c>
      <c r="M53">
        <v>3</v>
      </c>
      <c r="N53">
        <v>1</v>
      </c>
      <c r="O53" t="s">
        <v>37</v>
      </c>
      <c r="P53" t="s">
        <v>37</v>
      </c>
      <c r="Q53" t="s">
        <v>25</v>
      </c>
      <c r="R53">
        <v>20566</v>
      </c>
      <c r="S53" t="b">
        <f t="shared" si="12"/>
        <v>0</v>
      </c>
      <c r="T53">
        <f t="shared" si="13"/>
        <v>20939</v>
      </c>
      <c r="U53">
        <f t="shared" si="14"/>
        <v>28096.75</v>
      </c>
      <c r="V53">
        <f t="shared" si="15"/>
        <v>7157.75</v>
      </c>
      <c r="W53">
        <f t="shared" si="16"/>
        <v>-534.25</v>
      </c>
      <c r="X53">
        <f t="shared" si="17"/>
        <v>49570</v>
      </c>
    </row>
    <row r="54" spans="1:24" x14ac:dyDescent="0.35">
      <c r="A54" t="s">
        <v>107</v>
      </c>
      <c r="B54" t="s">
        <v>62</v>
      </c>
      <c r="C54">
        <v>6</v>
      </c>
      <c r="D54" t="s">
        <v>15</v>
      </c>
      <c r="E54" t="s">
        <v>16</v>
      </c>
      <c r="F54" t="s">
        <v>17</v>
      </c>
      <c r="G54" t="s">
        <v>53</v>
      </c>
      <c r="H54" t="s">
        <v>72</v>
      </c>
      <c r="I54" t="s">
        <v>20</v>
      </c>
      <c r="J54" t="s">
        <v>21</v>
      </c>
      <c r="K54" t="s">
        <v>41</v>
      </c>
      <c r="L54" t="s">
        <v>23</v>
      </c>
      <c r="M54">
        <v>3</v>
      </c>
      <c r="N54">
        <v>1</v>
      </c>
      <c r="O54" t="s">
        <v>31</v>
      </c>
      <c r="P54" t="s">
        <v>31</v>
      </c>
      <c r="Q54" t="s">
        <v>25</v>
      </c>
      <c r="R54">
        <v>23111</v>
      </c>
      <c r="S54" t="b">
        <f t="shared" si="12"/>
        <v>0</v>
      </c>
      <c r="T54">
        <f t="shared" si="13"/>
        <v>20939</v>
      </c>
      <c r="U54">
        <f t="shared" si="14"/>
        <v>28096.75</v>
      </c>
      <c r="V54">
        <f t="shared" si="15"/>
        <v>7157.75</v>
      </c>
      <c r="W54">
        <f t="shared" si="16"/>
        <v>-534.25</v>
      </c>
      <c r="X54">
        <f t="shared" si="17"/>
        <v>49570</v>
      </c>
    </row>
    <row r="55" spans="1:24" x14ac:dyDescent="0.35">
      <c r="A55" t="s">
        <v>107</v>
      </c>
      <c r="B55" t="s">
        <v>62</v>
      </c>
      <c r="C55">
        <v>12</v>
      </c>
      <c r="D55" t="s">
        <v>15</v>
      </c>
      <c r="E55" t="s">
        <v>16</v>
      </c>
      <c r="F55" t="s">
        <v>17</v>
      </c>
      <c r="G55" t="s">
        <v>53</v>
      </c>
      <c r="H55" t="s">
        <v>72</v>
      </c>
      <c r="I55" t="s">
        <v>20</v>
      </c>
      <c r="J55" t="s">
        <v>21</v>
      </c>
      <c r="K55" t="s">
        <v>41</v>
      </c>
      <c r="L55" t="s">
        <v>23</v>
      </c>
      <c r="M55">
        <v>3</v>
      </c>
      <c r="N55">
        <v>1</v>
      </c>
      <c r="O55" t="s">
        <v>37</v>
      </c>
      <c r="P55" t="s">
        <v>37</v>
      </c>
      <c r="Q55" t="s">
        <v>25</v>
      </c>
      <c r="R55">
        <v>24925</v>
      </c>
      <c r="S55" t="b">
        <f t="shared" si="12"/>
        <v>0</v>
      </c>
      <c r="T55">
        <f t="shared" si="13"/>
        <v>20939</v>
      </c>
      <c r="U55">
        <f t="shared" si="14"/>
        <v>28096.75</v>
      </c>
      <c r="V55">
        <f t="shared" si="15"/>
        <v>7157.75</v>
      </c>
      <c r="W55">
        <f t="shared" si="16"/>
        <v>-534.25</v>
      </c>
      <c r="X55">
        <f t="shared" si="17"/>
        <v>49570</v>
      </c>
    </row>
    <row r="56" spans="1:24" x14ac:dyDescent="0.35">
      <c r="A56" t="s">
        <v>108</v>
      </c>
      <c r="B56" t="s">
        <v>63</v>
      </c>
      <c r="C56">
        <v>6</v>
      </c>
      <c r="D56" t="s">
        <v>52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56</v>
      </c>
      <c r="K56" t="s">
        <v>61</v>
      </c>
      <c r="L56" t="s">
        <v>23</v>
      </c>
      <c r="M56">
        <v>3</v>
      </c>
      <c r="N56">
        <v>1</v>
      </c>
      <c r="O56" t="s">
        <v>31</v>
      </c>
      <c r="P56" t="s">
        <v>31</v>
      </c>
      <c r="Q56" t="s">
        <v>25</v>
      </c>
      <c r="R56">
        <v>20917</v>
      </c>
      <c r="S56" t="b">
        <f t="shared" si="12"/>
        <v>0</v>
      </c>
      <c r="T56">
        <f t="shared" si="13"/>
        <v>20939</v>
      </c>
      <c r="U56">
        <f t="shared" si="14"/>
        <v>28096.75</v>
      </c>
      <c r="V56">
        <f t="shared" si="15"/>
        <v>7157.75</v>
      </c>
      <c r="W56">
        <f t="shared" si="16"/>
        <v>-534.25</v>
      </c>
      <c r="X56">
        <f t="shared" si="17"/>
        <v>49570</v>
      </c>
    </row>
    <row r="57" spans="1:24" x14ac:dyDescent="0.35">
      <c r="A57" t="s">
        <v>108</v>
      </c>
      <c r="B57" t="s">
        <v>63</v>
      </c>
      <c r="C57">
        <v>12</v>
      </c>
      <c r="D57" t="s">
        <v>52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56</v>
      </c>
      <c r="K57" t="s">
        <v>61</v>
      </c>
      <c r="L57" t="s">
        <v>23</v>
      </c>
      <c r="M57">
        <v>3</v>
      </c>
      <c r="N57">
        <v>1</v>
      </c>
      <c r="O57" t="s">
        <v>37</v>
      </c>
      <c r="P57" t="s">
        <v>37</v>
      </c>
      <c r="Q57" t="s">
        <v>25</v>
      </c>
      <c r="R57">
        <v>20697</v>
      </c>
      <c r="S57" t="b">
        <f t="shared" si="12"/>
        <v>0</v>
      </c>
      <c r="T57">
        <f t="shared" si="13"/>
        <v>20939</v>
      </c>
      <c r="U57">
        <f t="shared" si="14"/>
        <v>28096.75</v>
      </c>
      <c r="V57">
        <f t="shared" si="15"/>
        <v>7157.75</v>
      </c>
      <c r="W57">
        <f t="shared" si="16"/>
        <v>-534.25</v>
      </c>
      <c r="X57">
        <f t="shared" si="17"/>
        <v>49570</v>
      </c>
    </row>
    <row r="58" spans="1:24" x14ac:dyDescent="0.35">
      <c r="A58" t="s">
        <v>109</v>
      </c>
      <c r="B58" t="s">
        <v>71</v>
      </c>
      <c r="C58">
        <v>6</v>
      </c>
      <c r="D58" t="s">
        <v>15</v>
      </c>
      <c r="E58" t="s">
        <v>16</v>
      </c>
      <c r="F58" t="s">
        <v>17</v>
      </c>
      <c r="G58" t="s">
        <v>53</v>
      </c>
      <c r="H58" t="s">
        <v>54</v>
      </c>
      <c r="I58" t="s">
        <v>20</v>
      </c>
      <c r="J58" t="s">
        <v>21</v>
      </c>
      <c r="K58" t="s">
        <v>41</v>
      </c>
      <c r="L58" t="s">
        <v>23</v>
      </c>
      <c r="M58">
        <v>3</v>
      </c>
      <c r="N58">
        <v>1</v>
      </c>
      <c r="O58" t="s">
        <v>31</v>
      </c>
      <c r="P58" t="s">
        <v>31</v>
      </c>
      <c r="Q58" t="s">
        <v>25</v>
      </c>
      <c r="R58">
        <v>23127</v>
      </c>
      <c r="S58" t="b">
        <f t="shared" si="12"/>
        <v>0</v>
      </c>
      <c r="T58">
        <f t="shared" si="13"/>
        <v>20939</v>
      </c>
      <c r="U58">
        <f t="shared" si="14"/>
        <v>28096.75</v>
      </c>
      <c r="V58">
        <f t="shared" si="15"/>
        <v>7157.75</v>
      </c>
      <c r="W58">
        <f t="shared" si="16"/>
        <v>-534.25</v>
      </c>
      <c r="X58">
        <f t="shared" si="17"/>
        <v>49570</v>
      </c>
    </row>
    <row r="59" spans="1:24" x14ac:dyDescent="0.35">
      <c r="A59" t="s">
        <v>109</v>
      </c>
      <c r="B59" t="s">
        <v>71</v>
      </c>
      <c r="C59">
        <v>12</v>
      </c>
      <c r="D59" t="s">
        <v>15</v>
      </c>
      <c r="E59" t="s">
        <v>16</v>
      </c>
      <c r="F59" t="s">
        <v>17</v>
      </c>
      <c r="G59" t="s">
        <v>53</v>
      </c>
      <c r="H59" t="s">
        <v>54</v>
      </c>
      <c r="I59" t="s">
        <v>20</v>
      </c>
      <c r="J59" t="s">
        <v>21</v>
      </c>
      <c r="K59" t="s">
        <v>41</v>
      </c>
      <c r="L59" t="s">
        <v>23</v>
      </c>
      <c r="M59">
        <v>3</v>
      </c>
      <c r="N59">
        <v>1</v>
      </c>
      <c r="O59" t="s">
        <v>37</v>
      </c>
      <c r="P59" t="s">
        <v>37</v>
      </c>
      <c r="Q59" t="s">
        <v>25</v>
      </c>
      <c r="R59">
        <v>22968</v>
      </c>
      <c r="S59" t="b">
        <f t="shared" si="12"/>
        <v>0</v>
      </c>
      <c r="T59">
        <f t="shared" si="13"/>
        <v>20939</v>
      </c>
      <c r="U59">
        <f t="shared" si="14"/>
        <v>28096.75</v>
      </c>
      <c r="V59">
        <f t="shared" si="15"/>
        <v>7157.75</v>
      </c>
      <c r="W59">
        <f t="shared" si="16"/>
        <v>-534.25</v>
      </c>
      <c r="X59">
        <f t="shared" si="17"/>
        <v>49570</v>
      </c>
    </row>
    <row r="60" spans="1:24" x14ac:dyDescent="0.35">
      <c r="A60" t="s">
        <v>110</v>
      </c>
      <c r="B60" t="s">
        <v>69</v>
      </c>
      <c r="C60">
        <v>6</v>
      </c>
      <c r="D60" t="s">
        <v>40</v>
      </c>
      <c r="E60" t="s">
        <v>64</v>
      </c>
      <c r="F60" t="s">
        <v>65</v>
      </c>
      <c r="G60" t="s">
        <v>53</v>
      </c>
      <c r="H60" t="s">
        <v>54</v>
      </c>
      <c r="I60" t="s">
        <v>20</v>
      </c>
      <c r="J60" t="s">
        <v>66</v>
      </c>
      <c r="K60" t="s">
        <v>41</v>
      </c>
      <c r="L60" t="s">
        <v>23</v>
      </c>
      <c r="M60">
        <v>3</v>
      </c>
      <c r="N60">
        <v>1</v>
      </c>
      <c r="O60" t="s">
        <v>31</v>
      </c>
      <c r="P60" t="s">
        <v>47</v>
      </c>
      <c r="Q60" t="s">
        <v>43</v>
      </c>
      <c r="R60">
        <v>23504</v>
      </c>
      <c r="S60" t="b">
        <f t="shared" si="12"/>
        <v>0</v>
      </c>
      <c r="T60">
        <f t="shared" si="13"/>
        <v>20939</v>
      </c>
      <c r="U60">
        <f t="shared" si="14"/>
        <v>28096.75</v>
      </c>
      <c r="V60">
        <f t="shared" si="15"/>
        <v>7157.75</v>
      </c>
      <c r="W60">
        <f t="shared" si="16"/>
        <v>-534.25</v>
      </c>
      <c r="X60">
        <f t="shared" si="17"/>
        <v>49570</v>
      </c>
    </row>
    <row r="61" spans="1:24" x14ac:dyDescent="0.35">
      <c r="A61" t="s">
        <v>110</v>
      </c>
      <c r="B61" t="s">
        <v>69</v>
      </c>
      <c r="C61">
        <v>12</v>
      </c>
      <c r="D61" t="s">
        <v>40</v>
      </c>
      <c r="E61" t="s">
        <v>64</v>
      </c>
      <c r="F61" t="s">
        <v>65</v>
      </c>
      <c r="G61" t="s">
        <v>53</v>
      </c>
      <c r="H61" t="s">
        <v>54</v>
      </c>
      <c r="I61" t="s">
        <v>20</v>
      </c>
      <c r="J61" t="s">
        <v>66</v>
      </c>
      <c r="K61" t="s">
        <v>41</v>
      </c>
      <c r="L61" t="s">
        <v>23</v>
      </c>
      <c r="M61">
        <v>3</v>
      </c>
      <c r="N61">
        <v>1</v>
      </c>
      <c r="O61" t="s">
        <v>37</v>
      </c>
      <c r="P61" t="s">
        <v>37</v>
      </c>
      <c r="Q61" t="s">
        <v>25</v>
      </c>
      <c r="R61">
        <v>26121</v>
      </c>
      <c r="S61" t="b">
        <f t="shared" si="12"/>
        <v>0</v>
      </c>
      <c r="T61">
        <f t="shared" si="13"/>
        <v>20939</v>
      </c>
      <c r="U61">
        <f t="shared" si="14"/>
        <v>28096.75</v>
      </c>
      <c r="V61">
        <f t="shared" si="15"/>
        <v>7157.75</v>
      </c>
      <c r="W61">
        <f t="shared" si="16"/>
        <v>-534.25</v>
      </c>
      <c r="X61">
        <f t="shared" si="17"/>
        <v>49570</v>
      </c>
    </row>
    <row r="62" spans="1:24" x14ac:dyDescent="0.35">
      <c r="A62" t="s">
        <v>111</v>
      </c>
      <c r="B62" t="s">
        <v>70</v>
      </c>
      <c r="C62">
        <v>6</v>
      </c>
      <c r="D62" t="s">
        <v>52</v>
      </c>
      <c r="E62" t="s">
        <v>64</v>
      </c>
      <c r="F62" t="s">
        <v>65</v>
      </c>
      <c r="G62" t="s">
        <v>53</v>
      </c>
      <c r="H62" t="s">
        <v>68</v>
      </c>
      <c r="I62" t="s">
        <v>20</v>
      </c>
      <c r="J62" t="s">
        <v>21</v>
      </c>
      <c r="K62" t="s">
        <v>41</v>
      </c>
      <c r="L62" t="s">
        <v>23</v>
      </c>
      <c r="M62">
        <v>3</v>
      </c>
      <c r="N62">
        <v>1</v>
      </c>
      <c r="O62" t="s">
        <v>31</v>
      </c>
      <c r="P62" t="s">
        <v>31</v>
      </c>
      <c r="Q62" t="s">
        <v>25</v>
      </c>
      <c r="R62">
        <v>83220</v>
      </c>
      <c r="S62" t="b">
        <f t="shared" si="12"/>
        <v>1</v>
      </c>
      <c r="T62">
        <f t="shared" si="13"/>
        <v>20939</v>
      </c>
      <c r="U62">
        <f t="shared" si="14"/>
        <v>28096.75</v>
      </c>
      <c r="V62">
        <f t="shared" si="15"/>
        <v>7157.75</v>
      </c>
      <c r="W62">
        <f t="shared" si="16"/>
        <v>-534.25</v>
      </c>
      <c r="X62">
        <f t="shared" si="17"/>
        <v>49570</v>
      </c>
    </row>
    <row r="63" spans="1:24" x14ac:dyDescent="0.35">
      <c r="A63" t="s">
        <v>111</v>
      </c>
      <c r="B63" t="s">
        <v>70</v>
      </c>
      <c r="C63">
        <v>12</v>
      </c>
      <c r="D63" t="s">
        <v>52</v>
      </c>
      <c r="E63" t="s">
        <v>64</v>
      </c>
      <c r="F63" t="s">
        <v>65</v>
      </c>
      <c r="G63" t="s">
        <v>53</v>
      </c>
      <c r="H63" t="s">
        <v>68</v>
      </c>
      <c r="I63" t="s">
        <v>20</v>
      </c>
      <c r="J63" t="s">
        <v>21</v>
      </c>
      <c r="K63" t="s">
        <v>41</v>
      </c>
      <c r="L63" t="s">
        <v>23</v>
      </c>
      <c r="M63">
        <v>3</v>
      </c>
      <c r="N63">
        <v>1</v>
      </c>
      <c r="O63" t="s">
        <v>37</v>
      </c>
      <c r="P63" t="s">
        <v>37</v>
      </c>
      <c r="Q63" t="s">
        <v>25</v>
      </c>
      <c r="R63" s="1">
        <v>20419</v>
      </c>
      <c r="S63" t="b">
        <f t="shared" si="12"/>
        <v>0</v>
      </c>
      <c r="T63">
        <f t="shared" si="13"/>
        <v>20939</v>
      </c>
      <c r="U63">
        <f t="shared" si="14"/>
        <v>28096.75</v>
      </c>
      <c r="V63">
        <f t="shared" si="15"/>
        <v>7157.75</v>
      </c>
      <c r="W63">
        <f t="shared" si="16"/>
        <v>-534.25</v>
      </c>
      <c r="X63">
        <f t="shared" si="17"/>
        <v>49570</v>
      </c>
    </row>
    <row r="64" spans="1:24" x14ac:dyDescent="0.35">
      <c r="A64" t="s">
        <v>112</v>
      </c>
      <c r="B64" t="s">
        <v>74</v>
      </c>
      <c r="C64">
        <v>6</v>
      </c>
      <c r="D64" t="s">
        <v>15</v>
      </c>
      <c r="E64" t="s">
        <v>16</v>
      </c>
      <c r="F64" t="s">
        <v>17</v>
      </c>
      <c r="G64" t="s">
        <v>18</v>
      </c>
      <c r="H64" t="s">
        <v>54</v>
      </c>
      <c r="I64" t="s">
        <v>20</v>
      </c>
      <c r="J64" t="s">
        <v>21</v>
      </c>
      <c r="K64" t="s">
        <v>41</v>
      </c>
      <c r="L64" t="s">
        <v>23</v>
      </c>
      <c r="M64">
        <v>3</v>
      </c>
      <c r="N64">
        <v>1</v>
      </c>
      <c r="O64" t="s">
        <v>31</v>
      </c>
      <c r="P64" t="s">
        <v>31</v>
      </c>
      <c r="Q64" t="s">
        <v>25</v>
      </c>
      <c r="R64">
        <v>21816</v>
      </c>
      <c r="S64" t="b">
        <f t="shared" si="12"/>
        <v>0</v>
      </c>
      <c r="T64">
        <f t="shared" si="13"/>
        <v>20939</v>
      </c>
      <c r="U64">
        <f t="shared" si="14"/>
        <v>28096.75</v>
      </c>
      <c r="V64">
        <f t="shared" si="15"/>
        <v>7157.75</v>
      </c>
      <c r="W64">
        <f t="shared" si="16"/>
        <v>-534.25</v>
      </c>
      <c r="X64">
        <f t="shared" si="17"/>
        <v>49570</v>
      </c>
    </row>
    <row r="65" spans="1:24" x14ac:dyDescent="0.35">
      <c r="A65" t="s">
        <v>112</v>
      </c>
      <c r="B65" t="s">
        <v>74</v>
      </c>
      <c r="C65">
        <v>12</v>
      </c>
      <c r="D65" t="s">
        <v>15</v>
      </c>
      <c r="E65" t="s">
        <v>16</v>
      </c>
      <c r="F65" t="s">
        <v>17</v>
      </c>
      <c r="G65" t="s">
        <v>18</v>
      </c>
      <c r="H65" t="s">
        <v>54</v>
      </c>
      <c r="I65" t="s">
        <v>20</v>
      </c>
      <c r="J65" t="s">
        <v>21</v>
      </c>
      <c r="K65" t="s">
        <v>41</v>
      </c>
      <c r="L65" t="s">
        <v>23</v>
      </c>
      <c r="M65">
        <v>3</v>
      </c>
      <c r="N65">
        <v>1</v>
      </c>
      <c r="O65" t="s">
        <v>37</v>
      </c>
      <c r="P65" t="s">
        <v>37</v>
      </c>
      <c r="Q65" t="s">
        <v>25</v>
      </c>
      <c r="R65">
        <v>19160</v>
      </c>
      <c r="S65" t="b">
        <f t="shared" si="12"/>
        <v>0</v>
      </c>
      <c r="T65">
        <f t="shared" si="13"/>
        <v>20939</v>
      </c>
      <c r="U65">
        <f t="shared" si="14"/>
        <v>28096.75</v>
      </c>
      <c r="V65">
        <f t="shared" si="15"/>
        <v>7157.75</v>
      </c>
      <c r="W65">
        <f t="shared" si="16"/>
        <v>-534.25</v>
      </c>
      <c r="X65">
        <f t="shared" si="17"/>
        <v>49570</v>
      </c>
    </row>
    <row r="66" spans="1:24" x14ac:dyDescent="0.35">
      <c r="A66" t="s">
        <v>113</v>
      </c>
      <c r="B66" t="s">
        <v>76</v>
      </c>
      <c r="C66">
        <v>6</v>
      </c>
      <c r="D66" t="s">
        <v>15</v>
      </c>
      <c r="E66" t="s">
        <v>16</v>
      </c>
      <c r="F66" t="s">
        <v>17</v>
      </c>
      <c r="G66" t="s">
        <v>18</v>
      </c>
      <c r="H66" t="s">
        <v>72</v>
      </c>
      <c r="I66" t="s">
        <v>20</v>
      </c>
      <c r="J66" t="s">
        <v>21</v>
      </c>
      <c r="K66" t="s">
        <v>22</v>
      </c>
      <c r="L66" t="s">
        <v>23</v>
      </c>
      <c r="M66">
        <v>3</v>
      </c>
      <c r="N66">
        <v>1</v>
      </c>
      <c r="O66" t="s">
        <v>31</v>
      </c>
      <c r="P66" t="s">
        <v>47</v>
      </c>
      <c r="Q66" t="s">
        <v>43</v>
      </c>
      <c r="R66">
        <v>16926</v>
      </c>
      <c r="S66" t="b">
        <f t="shared" si="12"/>
        <v>0</v>
      </c>
      <c r="T66">
        <f t="shared" si="13"/>
        <v>20939</v>
      </c>
      <c r="U66">
        <f t="shared" si="14"/>
        <v>28096.75</v>
      </c>
      <c r="V66">
        <f t="shared" si="15"/>
        <v>7157.75</v>
      </c>
      <c r="W66">
        <f t="shared" si="16"/>
        <v>-534.25</v>
      </c>
      <c r="X66">
        <f t="shared" si="17"/>
        <v>49570</v>
      </c>
    </row>
    <row r="67" spans="1:24" x14ac:dyDescent="0.35">
      <c r="A67" t="s">
        <v>113</v>
      </c>
      <c r="B67" t="s">
        <v>76</v>
      </c>
      <c r="C67">
        <v>12</v>
      </c>
      <c r="D67" t="s">
        <v>15</v>
      </c>
      <c r="E67" t="s">
        <v>16</v>
      </c>
      <c r="F67" t="s">
        <v>17</v>
      </c>
      <c r="G67" t="s">
        <v>18</v>
      </c>
      <c r="H67" t="s">
        <v>72</v>
      </c>
      <c r="I67" t="s">
        <v>20</v>
      </c>
      <c r="J67" t="s">
        <v>21</v>
      </c>
      <c r="K67" t="s">
        <v>22</v>
      </c>
      <c r="L67" t="s">
        <v>23</v>
      </c>
      <c r="M67">
        <v>3</v>
      </c>
      <c r="N67">
        <v>1</v>
      </c>
      <c r="O67" t="s">
        <v>37</v>
      </c>
      <c r="P67" t="s">
        <v>50</v>
      </c>
      <c r="Q67" t="s">
        <v>43</v>
      </c>
      <c r="R67">
        <v>20146</v>
      </c>
      <c r="S67" t="b">
        <f t="shared" si="12"/>
        <v>0</v>
      </c>
      <c r="T67">
        <f t="shared" si="13"/>
        <v>20939</v>
      </c>
      <c r="U67">
        <f t="shared" si="14"/>
        <v>28096.75</v>
      </c>
      <c r="V67">
        <f t="shared" si="15"/>
        <v>7157.75</v>
      </c>
      <c r="W67">
        <f t="shared" si="16"/>
        <v>-534.25</v>
      </c>
      <c r="X67">
        <f t="shared" si="17"/>
        <v>49570</v>
      </c>
    </row>
    <row r="68" spans="1:24" x14ac:dyDescent="0.35">
      <c r="A68" t="s">
        <v>114</v>
      </c>
      <c r="B68" t="s">
        <v>77</v>
      </c>
      <c r="C68">
        <v>6</v>
      </c>
      <c r="D68" t="s">
        <v>15</v>
      </c>
      <c r="E68" t="s">
        <v>16</v>
      </c>
      <c r="F68" t="s">
        <v>17</v>
      </c>
      <c r="G68" t="s">
        <v>18</v>
      </c>
      <c r="H68" t="s">
        <v>54</v>
      </c>
      <c r="I68" t="s">
        <v>20</v>
      </c>
      <c r="J68" t="s">
        <v>21</v>
      </c>
      <c r="K68" t="s">
        <v>41</v>
      </c>
      <c r="L68" t="s">
        <v>23</v>
      </c>
      <c r="M68">
        <v>3</v>
      </c>
      <c r="N68">
        <v>1</v>
      </c>
      <c r="O68" t="s">
        <v>31</v>
      </c>
      <c r="P68" t="s">
        <v>47</v>
      </c>
      <c r="Q68" t="s">
        <v>43</v>
      </c>
      <c r="R68">
        <v>17965</v>
      </c>
      <c r="S68" t="b">
        <f t="shared" si="12"/>
        <v>0</v>
      </c>
      <c r="T68">
        <f t="shared" si="13"/>
        <v>20939</v>
      </c>
      <c r="U68">
        <f t="shared" si="14"/>
        <v>28096.75</v>
      </c>
      <c r="V68">
        <f t="shared" si="15"/>
        <v>7157.75</v>
      </c>
      <c r="W68">
        <f t="shared" si="16"/>
        <v>-534.25</v>
      </c>
      <c r="X68">
        <f t="shared" si="17"/>
        <v>49570</v>
      </c>
    </row>
    <row r="69" spans="1:24" x14ac:dyDescent="0.35">
      <c r="A69" t="s">
        <v>114</v>
      </c>
      <c r="B69" t="s">
        <v>77</v>
      </c>
      <c r="C69">
        <v>12</v>
      </c>
      <c r="D69" t="s">
        <v>15</v>
      </c>
      <c r="E69" t="s">
        <v>16</v>
      </c>
      <c r="F69" t="s">
        <v>17</v>
      </c>
      <c r="G69" t="s">
        <v>18</v>
      </c>
      <c r="H69" t="s">
        <v>54</v>
      </c>
      <c r="I69" t="s">
        <v>20</v>
      </c>
      <c r="J69" t="s">
        <v>21</v>
      </c>
      <c r="K69" t="s">
        <v>41</v>
      </c>
      <c r="L69" t="s">
        <v>23</v>
      </c>
      <c r="M69">
        <v>3</v>
      </c>
      <c r="N69">
        <v>1</v>
      </c>
      <c r="O69" t="s">
        <v>37</v>
      </c>
      <c r="P69" t="s">
        <v>50</v>
      </c>
      <c r="Q69" t="s">
        <v>43</v>
      </c>
      <c r="R69">
        <v>15528</v>
      </c>
      <c r="S69" t="b">
        <f t="shared" si="12"/>
        <v>0</v>
      </c>
      <c r="T69">
        <f t="shared" si="13"/>
        <v>20939</v>
      </c>
      <c r="U69">
        <f t="shared" si="14"/>
        <v>28096.75</v>
      </c>
      <c r="V69">
        <f t="shared" si="15"/>
        <v>7157.75</v>
      </c>
      <c r="W69">
        <f t="shared" si="16"/>
        <v>-534.25</v>
      </c>
      <c r="X69">
        <f t="shared" si="17"/>
        <v>49570</v>
      </c>
    </row>
    <row r="70" spans="1:24" x14ac:dyDescent="0.35">
      <c r="A70" t="s">
        <v>115</v>
      </c>
      <c r="B70" t="s">
        <v>79</v>
      </c>
      <c r="C70">
        <v>6</v>
      </c>
      <c r="D70" t="s">
        <v>40</v>
      </c>
      <c r="E70" t="s">
        <v>64</v>
      </c>
      <c r="F70" t="s">
        <v>17</v>
      </c>
      <c r="G70" t="s">
        <v>53</v>
      </c>
      <c r="H70" t="s">
        <v>72</v>
      </c>
      <c r="I70" t="s">
        <v>20</v>
      </c>
      <c r="J70" t="s">
        <v>78</v>
      </c>
      <c r="K70" t="s">
        <v>61</v>
      </c>
      <c r="L70" t="s">
        <v>23</v>
      </c>
      <c r="M70">
        <v>3</v>
      </c>
      <c r="N70">
        <v>1</v>
      </c>
      <c r="O70" t="s">
        <v>31</v>
      </c>
      <c r="P70" t="s">
        <v>31</v>
      </c>
      <c r="Q70" t="s">
        <v>25</v>
      </c>
      <c r="R70">
        <v>25314</v>
      </c>
      <c r="S70" t="b">
        <f t="shared" si="12"/>
        <v>0</v>
      </c>
      <c r="T70">
        <f t="shared" si="13"/>
        <v>20939</v>
      </c>
      <c r="U70">
        <f t="shared" si="14"/>
        <v>28096.75</v>
      </c>
      <c r="V70">
        <f t="shared" si="15"/>
        <v>7157.75</v>
      </c>
      <c r="W70">
        <f t="shared" si="16"/>
        <v>-534.25</v>
      </c>
      <c r="X70">
        <f t="shared" si="17"/>
        <v>49570</v>
      </c>
    </row>
    <row r="71" spans="1:24" x14ac:dyDescent="0.35">
      <c r="A71" t="s">
        <v>115</v>
      </c>
      <c r="B71" t="s">
        <v>79</v>
      </c>
      <c r="C71">
        <v>12</v>
      </c>
      <c r="D71" t="s">
        <v>40</v>
      </c>
      <c r="E71" t="s">
        <v>64</v>
      </c>
      <c r="F71" t="s">
        <v>17</v>
      </c>
      <c r="G71" t="s">
        <v>53</v>
      </c>
      <c r="H71" t="s">
        <v>72</v>
      </c>
      <c r="I71" t="s">
        <v>20</v>
      </c>
      <c r="J71" t="s">
        <v>78</v>
      </c>
      <c r="K71" t="s">
        <v>61</v>
      </c>
      <c r="L71" t="s">
        <v>23</v>
      </c>
      <c r="M71">
        <v>3</v>
      </c>
      <c r="N71">
        <v>1</v>
      </c>
      <c r="O71" t="s">
        <v>37</v>
      </c>
      <c r="P71" t="s">
        <v>37</v>
      </c>
      <c r="Q71" t="s">
        <v>25</v>
      </c>
      <c r="R71">
        <v>21005</v>
      </c>
      <c r="S71" t="b">
        <f t="shared" si="12"/>
        <v>0</v>
      </c>
      <c r="T71">
        <f t="shared" si="13"/>
        <v>20939</v>
      </c>
      <c r="U71">
        <f t="shared" si="14"/>
        <v>28096.75</v>
      </c>
      <c r="V71">
        <f t="shared" si="15"/>
        <v>7157.75</v>
      </c>
      <c r="W71">
        <f t="shared" si="16"/>
        <v>-534.25</v>
      </c>
      <c r="X71">
        <f t="shared" si="17"/>
        <v>49570</v>
      </c>
    </row>
    <row r="72" spans="1:24" x14ac:dyDescent="0.35">
      <c r="A72" t="s">
        <v>116</v>
      </c>
      <c r="B72" t="s">
        <v>80</v>
      </c>
      <c r="C72">
        <v>6</v>
      </c>
      <c r="D72" t="s">
        <v>52</v>
      </c>
      <c r="E72" t="s">
        <v>64</v>
      </c>
      <c r="F72" t="s">
        <v>65</v>
      </c>
      <c r="G72" t="s">
        <v>18</v>
      </c>
      <c r="H72" t="s">
        <v>72</v>
      </c>
      <c r="I72" t="s">
        <v>20</v>
      </c>
      <c r="J72" t="s">
        <v>78</v>
      </c>
      <c r="K72" t="s">
        <v>22</v>
      </c>
      <c r="L72" t="s">
        <v>23</v>
      </c>
      <c r="M72">
        <v>3</v>
      </c>
      <c r="N72">
        <v>1</v>
      </c>
      <c r="O72" t="s">
        <v>31</v>
      </c>
      <c r="P72" t="s">
        <v>47</v>
      </c>
      <c r="Q72" t="s">
        <v>43</v>
      </c>
      <c r="R72">
        <v>21578</v>
      </c>
      <c r="S72" t="b">
        <f t="shared" si="12"/>
        <v>0</v>
      </c>
      <c r="T72">
        <f t="shared" si="13"/>
        <v>20939</v>
      </c>
      <c r="U72">
        <f t="shared" si="14"/>
        <v>28096.75</v>
      </c>
      <c r="V72">
        <f t="shared" si="15"/>
        <v>7157.75</v>
      </c>
      <c r="W72">
        <f t="shared" si="16"/>
        <v>-534.25</v>
      </c>
      <c r="X72">
        <f t="shared" si="17"/>
        <v>49570</v>
      </c>
    </row>
    <row r="73" spans="1:24" x14ac:dyDescent="0.35">
      <c r="A73" t="s">
        <v>116</v>
      </c>
      <c r="B73" t="s">
        <v>80</v>
      </c>
      <c r="C73">
        <v>12</v>
      </c>
      <c r="D73" t="s">
        <v>52</v>
      </c>
      <c r="E73" t="s">
        <v>64</v>
      </c>
      <c r="F73" t="s">
        <v>65</v>
      </c>
      <c r="G73" t="s">
        <v>18</v>
      </c>
      <c r="H73" t="s">
        <v>72</v>
      </c>
      <c r="I73" t="s">
        <v>20</v>
      </c>
      <c r="J73" t="s">
        <v>78</v>
      </c>
      <c r="K73" t="s">
        <v>22</v>
      </c>
      <c r="L73" t="s">
        <v>23</v>
      </c>
      <c r="M73">
        <v>3</v>
      </c>
      <c r="N73">
        <v>1</v>
      </c>
      <c r="O73" t="s">
        <v>37</v>
      </c>
      <c r="P73" t="s">
        <v>50</v>
      </c>
      <c r="Q73" t="s">
        <v>43</v>
      </c>
      <c r="R73">
        <v>21354</v>
      </c>
      <c r="S73" t="b">
        <f t="shared" si="12"/>
        <v>0</v>
      </c>
      <c r="T73">
        <f t="shared" si="13"/>
        <v>20939</v>
      </c>
      <c r="U73">
        <f t="shared" si="14"/>
        <v>28096.75</v>
      </c>
      <c r="V73">
        <f t="shared" si="15"/>
        <v>7157.75</v>
      </c>
      <c r="W73">
        <f t="shared" si="16"/>
        <v>-534.25</v>
      </c>
      <c r="X73">
        <f t="shared" si="17"/>
        <v>49570</v>
      </c>
    </row>
    <row r="74" spans="1:24" x14ac:dyDescent="0.35">
      <c r="A74" t="s">
        <v>117</v>
      </c>
      <c r="B74" t="s">
        <v>81</v>
      </c>
      <c r="C74">
        <v>6</v>
      </c>
      <c r="D74" t="s">
        <v>52</v>
      </c>
      <c r="E74" t="s">
        <v>64</v>
      </c>
      <c r="F74" t="s">
        <v>65</v>
      </c>
      <c r="G74" t="s">
        <v>53</v>
      </c>
      <c r="H74" t="s">
        <v>19</v>
      </c>
      <c r="I74" t="s">
        <v>55</v>
      </c>
      <c r="J74" t="s">
        <v>66</v>
      </c>
      <c r="K74" t="s">
        <v>41</v>
      </c>
      <c r="L74" t="s">
        <v>23</v>
      </c>
      <c r="M74">
        <v>3</v>
      </c>
      <c r="N74">
        <v>1</v>
      </c>
      <c r="O74" t="s">
        <v>31</v>
      </c>
      <c r="P74" t="s">
        <v>31</v>
      </c>
      <c r="Q74" t="s">
        <v>25</v>
      </c>
      <c r="R74">
        <v>34721</v>
      </c>
      <c r="S74" t="b">
        <f t="shared" si="12"/>
        <v>0</v>
      </c>
      <c r="T74">
        <f t="shared" si="13"/>
        <v>20939</v>
      </c>
      <c r="U74">
        <f t="shared" si="14"/>
        <v>28096.75</v>
      </c>
      <c r="V74">
        <f t="shared" si="15"/>
        <v>7157.75</v>
      </c>
      <c r="W74">
        <f t="shared" si="16"/>
        <v>-534.25</v>
      </c>
      <c r="X74">
        <f t="shared" si="17"/>
        <v>49570</v>
      </c>
    </row>
    <row r="75" spans="1:24" x14ac:dyDescent="0.35">
      <c r="A75" t="s">
        <v>117</v>
      </c>
      <c r="B75" t="s">
        <v>81</v>
      </c>
      <c r="C75">
        <v>12</v>
      </c>
      <c r="D75" t="s">
        <v>52</v>
      </c>
      <c r="E75" t="s">
        <v>64</v>
      </c>
      <c r="F75" t="s">
        <v>65</v>
      </c>
      <c r="G75" t="s">
        <v>53</v>
      </c>
      <c r="H75" t="s">
        <v>19</v>
      </c>
      <c r="I75" t="s">
        <v>55</v>
      </c>
      <c r="J75" t="s">
        <v>66</v>
      </c>
      <c r="K75" t="s">
        <v>41</v>
      </c>
      <c r="L75" t="s">
        <v>23</v>
      </c>
      <c r="M75">
        <v>3</v>
      </c>
      <c r="N75">
        <v>1</v>
      </c>
      <c r="O75" t="s">
        <v>37</v>
      </c>
      <c r="P75" t="s">
        <v>37</v>
      </c>
      <c r="Q75" t="s">
        <v>25</v>
      </c>
      <c r="R75">
        <v>28447</v>
      </c>
      <c r="S75" t="b">
        <f t="shared" si="12"/>
        <v>0</v>
      </c>
      <c r="T75">
        <f t="shared" si="13"/>
        <v>20939</v>
      </c>
      <c r="U75">
        <f t="shared" si="14"/>
        <v>28096.75</v>
      </c>
      <c r="V75">
        <f t="shared" si="15"/>
        <v>7157.75</v>
      </c>
      <c r="W75">
        <f t="shared" si="16"/>
        <v>-534.25</v>
      </c>
      <c r="X75">
        <f t="shared" si="17"/>
        <v>49570</v>
      </c>
    </row>
    <row r="76" spans="1:24" x14ac:dyDescent="0.35">
      <c r="A76" t="s">
        <v>118</v>
      </c>
      <c r="B76" t="s">
        <v>84</v>
      </c>
      <c r="C76">
        <v>6</v>
      </c>
      <c r="D76" t="s">
        <v>15</v>
      </c>
      <c r="E76" t="s">
        <v>64</v>
      </c>
      <c r="F76" t="s">
        <v>65</v>
      </c>
      <c r="G76" t="s">
        <v>53</v>
      </c>
      <c r="H76" t="s">
        <v>82</v>
      </c>
      <c r="I76" t="s">
        <v>20</v>
      </c>
      <c r="J76" t="s">
        <v>83</v>
      </c>
      <c r="K76" t="s">
        <v>61</v>
      </c>
      <c r="L76" t="s">
        <v>23</v>
      </c>
      <c r="M76">
        <v>3</v>
      </c>
      <c r="N76">
        <v>1</v>
      </c>
      <c r="O76" t="s">
        <v>31</v>
      </c>
      <c r="P76" t="s">
        <v>31</v>
      </c>
      <c r="Q76" t="s">
        <v>25</v>
      </c>
      <c r="R76">
        <v>22531</v>
      </c>
      <c r="S76" t="b">
        <f t="shared" si="12"/>
        <v>0</v>
      </c>
      <c r="T76">
        <f t="shared" si="13"/>
        <v>20939</v>
      </c>
      <c r="U76">
        <f t="shared" si="14"/>
        <v>28096.75</v>
      </c>
      <c r="V76">
        <f t="shared" si="15"/>
        <v>7157.75</v>
      </c>
      <c r="W76">
        <f t="shared" si="16"/>
        <v>-534.25</v>
      </c>
      <c r="X76">
        <f t="shared" si="17"/>
        <v>49570</v>
      </c>
    </row>
    <row r="77" spans="1:24" x14ac:dyDescent="0.35">
      <c r="A77" t="s">
        <v>118</v>
      </c>
      <c r="B77" t="s">
        <v>84</v>
      </c>
      <c r="C77">
        <v>12</v>
      </c>
      <c r="D77" t="s">
        <v>15</v>
      </c>
      <c r="E77" t="s">
        <v>64</v>
      </c>
      <c r="F77" t="s">
        <v>65</v>
      </c>
      <c r="G77" t="s">
        <v>53</v>
      </c>
      <c r="H77" t="s">
        <v>82</v>
      </c>
      <c r="I77" t="s">
        <v>20</v>
      </c>
      <c r="J77" t="s">
        <v>83</v>
      </c>
      <c r="K77" t="s">
        <v>61</v>
      </c>
      <c r="L77" t="s">
        <v>23</v>
      </c>
      <c r="M77">
        <v>3</v>
      </c>
      <c r="N77">
        <v>1</v>
      </c>
      <c r="O77" t="s">
        <v>37</v>
      </c>
      <c r="P77" t="s">
        <v>37</v>
      </c>
      <c r="Q77" t="s">
        <v>25</v>
      </c>
      <c r="R77">
        <v>22495</v>
      </c>
      <c r="S77" t="b">
        <f t="shared" si="12"/>
        <v>0</v>
      </c>
      <c r="T77">
        <f t="shared" si="13"/>
        <v>20939</v>
      </c>
      <c r="U77">
        <f t="shared" si="14"/>
        <v>28096.75</v>
      </c>
      <c r="V77">
        <f t="shared" si="15"/>
        <v>7157.75</v>
      </c>
      <c r="W77">
        <f t="shared" si="16"/>
        <v>-534.25</v>
      </c>
      <c r="X77">
        <f t="shared" si="17"/>
        <v>49570</v>
      </c>
    </row>
    <row r="78" spans="1:24" x14ac:dyDescent="0.35">
      <c r="A78" t="s">
        <v>119</v>
      </c>
      <c r="B78" t="s">
        <v>87</v>
      </c>
      <c r="C78">
        <v>6</v>
      </c>
      <c r="D78" t="s">
        <v>52</v>
      </c>
      <c r="E78" t="s">
        <v>64</v>
      </c>
      <c r="F78" t="s">
        <v>65</v>
      </c>
      <c r="G78" t="s">
        <v>85</v>
      </c>
      <c r="H78" t="s">
        <v>54</v>
      </c>
      <c r="I78" t="s">
        <v>55</v>
      </c>
      <c r="J78" t="s">
        <v>21</v>
      </c>
      <c r="K78" t="s">
        <v>41</v>
      </c>
      <c r="L78" t="s">
        <v>23</v>
      </c>
      <c r="M78">
        <v>3</v>
      </c>
      <c r="N78">
        <v>1</v>
      </c>
      <c r="O78" t="s">
        <v>31</v>
      </c>
      <c r="P78" t="s">
        <v>31</v>
      </c>
      <c r="Q78" t="s">
        <v>25</v>
      </c>
      <c r="R78">
        <v>43201</v>
      </c>
      <c r="S78" t="b">
        <f t="shared" si="12"/>
        <v>0</v>
      </c>
      <c r="T78">
        <f t="shared" si="13"/>
        <v>20939</v>
      </c>
      <c r="U78">
        <f t="shared" si="14"/>
        <v>28096.75</v>
      </c>
      <c r="V78">
        <f t="shared" si="15"/>
        <v>7157.75</v>
      </c>
      <c r="W78">
        <f t="shared" si="16"/>
        <v>-534.25</v>
      </c>
      <c r="X78">
        <f t="shared" si="17"/>
        <v>49570</v>
      </c>
    </row>
    <row r="79" spans="1:24" x14ac:dyDescent="0.35">
      <c r="A79" t="s">
        <v>119</v>
      </c>
      <c r="B79" t="s">
        <v>87</v>
      </c>
      <c r="C79">
        <v>12</v>
      </c>
      <c r="D79" t="s">
        <v>52</v>
      </c>
      <c r="E79" t="s">
        <v>64</v>
      </c>
      <c r="F79" t="s">
        <v>65</v>
      </c>
      <c r="G79" t="s">
        <v>85</v>
      </c>
      <c r="H79" t="s">
        <v>54</v>
      </c>
      <c r="I79" t="s">
        <v>55</v>
      </c>
      <c r="J79" t="s">
        <v>21</v>
      </c>
      <c r="K79" t="s">
        <v>41</v>
      </c>
      <c r="L79" t="s">
        <v>23</v>
      </c>
      <c r="M79">
        <v>3</v>
      </c>
      <c r="N79">
        <v>1</v>
      </c>
      <c r="O79" t="s">
        <v>37</v>
      </c>
      <c r="P79" t="s">
        <v>37</v>
      </c>
      <c r="Q79" t="s">
        <v>25</v>
      </c>
      <c r="R79">
        <v>60751</v>
      </c>
      <c r="S79" t="b">
        <f t="shared" si="12"/>
        <v>1</v>
      </c>
      <c r="T79">
        <f t="shared" si="13"/>
        <v>20939</v>
      </c>
      <c r="U79">
        <f t="shared" si="14"/>
        <v>28096.75</v>
      </c>
      <c r="V79">
        <f t="shared" si="15"/>
        <v>7157.75</v>
      </c>
      <c r="W79">
        <f t="shared" si="16"/>
        <v>-534.25</v>
      </c>
      <c r="X79">
        <f t="shared" si="17"/>
        <v>49570</v>
      </c>
    </row>
    <row r="80" spans="1:24" x14ac:dyDescent="0.35">
      <c r="A80" t="s">
        <v>120</v>
      </c>
      <c r="B80" t="s">
        <v>90</v>
      </c>
      <c r="C80">
        <v>6</v>
      </c>
      <c r="D80" t="s">
        <v>40</v>
      </c>
      <c r="E80" t="s">
        <v>64</v>
      </c>
      <c r="F80" t="s">
        <v>65</v>
      </c>
      <c r="G80" t="s">
        <v>18</v>
      </c>
      <c r="H80" t="s">
        <v>19</v>
      </c>
      <c r="I80" t="s">
        <v>88</v>
      </c>
      <c r="J80" t="s">
        <v>89</v>
      </c>
      <c r="K80" t="s">
        <v>41</v>
      </c>
      <c r="L80" t="s">
        <v>23</v>
      </c>
      <c r="M80">
        <v>3</v>
      </c>
      <c r="N80">
        <v>1</v>
      </c>
      <c r="O80" t="s">
        <v>31</v>
      </c>
      <c r="P80" t="s">
        <v>31</v>
      </c>
      <c r="Q80" t="s">
        <v>25</v>
      </c>
      <c r="R80">
        <v>24724</v>
      </c>
      <c r="S80" t="b">
        <f t="shared" si="12"/>
        <v>0</v>
      </c>
      <c r="T80">
        <f t="shared" si="13"/>
        <v>20939</v>
      </c>
      <c r="U80">
        <f t="shared" si="14"/>
        <v>28096.75</v>
      </c>
      <c r="V80">
        <f t="shared" si="15"/>
        <v>7157.75</v>
      </c>
      <c r="W80">
        <f t="shared" si="16"/>
        <v>-534.25</v>
      </c>
      <c r="X80">
        <f t="shared" si="17"/>
        <v>49570</v>
      </c>
    </row>
    <row r="81" spans="1:24" x14ac:dyDescent="0.35">
      <c r="A81" t="s">
        <v>120</v>
      </c>
      <c r="B81" t="s">
        <v>90</v>
      </c>
      <c r="C81">
        <v>12</v>
      </c>
      <c r="D81" t="s">
        <v>40</v>
      </c>
      <c r="E81" t="s">
        <v>64</v>
      </c>
      <c r="F81" t="s">
        <v>65</v>
      </c>
      <c r="G81" t="s">
        <v>18</v>
      </c>
      <c r="H81" t="s">
        <v>19</v>
      </c>
      <c r="I81" t="s">
        <v>88</v>
      </c>
      <c r="J81" t="s">
        <v>89</v>
      </c>
      <c r="K81" t="s">
        <v>41</v>
      </c>
      <c r="L81" t="s">
        <v>23</v>
      </c>
      <c r="M81">
        <v>3</v>
      </c>
      <c r="N81">
        <v>1</v>
      </c>
      <c r="O81" t="s">
        <v>37</v>
      </c>
      <c r="P81" t="s">
        <v>37</v>
      </c>
      <c r="Q81" t="s">
        <v>25</v>
      </c>
      <c r="R81">
        <v>27337</v>
      </c>
      <c r="S81" t="b">
        <f t="shared" si="12"/>
        <v>0</v>
      </c>
      <c r="T81">
        <f t="shared" si="13"/>
        <v>20939</v>
      </c>
      <c r="U81">
        <f t="shared" si="14"/>
        <v>28096.75</v>
      </c>
      <c r="V81">
        <f t="shared" si="15"/>
        <v>7157.75</v>
      </c>
      <c r="W81">
        <f t="shared" si="16"/>
        <v>-534.25</v>
      </c>
      <c r="X81">
        <f t="shared" si="17"/>
        <v>49570</v>
      </c>
    </row>
    <row r="82" spans="1:24" x14ac:dyDescent="0.35">
      <c r="A82" t="s">
        <v>121</v>
      </c>
      <c r="B82" t="s">
        <v>91</v>
      </c>
      <c r="C82">
        <v>6</v>
      </c>
      <c r="D82" t="s">
        <v>15</v>
      </c>
      <c r="E82" t="s">
        <v>64</v>
      </c>
      <c r="F82" t="s">
        <v>65</v>
      </c>
      <c r="G82" t="s">
        <v>18</v>
      </c>
      <c r="H82" t="s">
        <v>68</v>
      </c>
      <c r="I82" t="s">
        <v>20</v>
      </c>
      <c r="J82" t="s">
        <v>66</v>
      </c>
      <c r="K82" t="s">
        <v>41</v>
      </c>
      <c r="L82" t="s">
        <v>23</v>
      </c>
      <c r="M82">
        <v>3</v>
      </c>
      <c r="N82">
        <v>1</v>
      </c>
      <c r="O82" t="s">
        <v>31</v>
      </c>
      <c r="P82" t="s">
        <v>31</v>
      </c>
      <c r="Q82" t="s">
        <v>25</v>
      </c>
      <c r="R82">
        <v>26507</v>
      </c>
      <c r="S82" t="b">
        <f t="shared" si="12"/>
        <v>0</v>
      </c>
      <c r="T82">
        <f t="shared" si="13"/>
        <v>20939</v>
      </c>
      <c r="U82">
        <f t="shared" si="14"/>
        <v>28096.75</v>
      </c>
      <c r="V82">
        <f t="shared" si="15"/>
        <v>7157.75</v>
      </c>
      <c r="W82">
        <f t="shared" si="16"/>
        <v>-534.25</v>
      </c>
      <c r="X82">
        <f t="shared" si="17"/>
        <v>49570</v>
      </c>
    </row>
    <row r="83" spans="1:24" x14ac:dyDescent="0.35">
      <c r="A83" t="s">
        <v>121</v>
      </c>
      <c r="B83" t="s">
        <v>91</v>
      </c>
      <c r="C83">
        <v>12</v>
      </c>
      <c r="D83" t="s">
        <v>15</v>
      </c>
      <c r="E83" t="s">
        <v>64</v>
      </c>
      <c r="F83" t="s">
        <v>65</v>
      </c>
      <c r="G83" t="s">
        <v>18</v>
      </c>
      <c r="H83" t="s">
        <v>68</v>
      </c>
      <c r="I83" t="s">
        <v>20</v>
      </c>
      <c r="J83" t="s">
        <v>66</v>
      </c>
      <c r="K83" t="s">
        <v>41</v>
      </c>
      <c r="L83" t="s">
        <v>23</v>
      </c>
      <c r="M83">
        <v>3</v>
      </c>
      <c r="N83">
        <v>1</v>
      </c>
      <c r="O83" t="s">
        <v>37</v>
      </c>
      <c r="P83" t="s">
        <v>37</v>
      </c>
      <c r="Q83" t="s">
        <v>25</v>
      </c>
      <c r="R83">
        <v>26754</v>
      </c>
      <c r="S83" t="b">
        <f t="shared" si="12"/>
        <v>0</v>
      </c>
      <c r="T83">
        <f t="shared" si="13"/>
        <v>20939</v>
      </c>
      <c r="U83">
        <f t="shared" si="14"/>
        <v>28096.75</v>
      </c>
      <c r="V83">
        <f t="shared" si="15"/>
        <v>7157.75</v>
      </c>
      <c r="W83">
        <f t="shared" si="16"/>
        <v>-534.25</v>
      </c>
      <c r="X83">
        <f t="shared" si="17"/>
        <v>49570</v>
      </c>
    </row>
    <row r="84" spans="1:24" x14ac:dyDescent="0.35">
      <c r="A84" t="s">
        <v>122</v>
      </c>
      <c r="B84" t="s">
        <v>92</v>
      </c>
      <c r="C84">
        <v>6</v>
      </c>
      <c r="D84" t="s">
        <v>40</v>
      </c>
      <c r="E84" t="s">
        <v>64</v>
      </c>
      <c r="F84" t="s">
        <v>65</v>
      </c>
      <c r="G84" t="s">
        <v>18</v>
      </c>
      <c r="H84" t="s">
        <v>54</v>
      </c>
      <c r="I84" t="s">
        <v>55</v>
      </c>
      <c r="J84" t="s">
        <v>78</v>
      </c>
      <c r="K84" t="s">
        <v>41</v>
      </c>
      <c r="L84" t="s">
        <v>23</v>
      </c>
      <c r="M84">
        <v>3</v>
      </c>
      <c r="N84">
        <v>1</v>
      </c>
      <c r="O84" t="s">
        <v>31</v>
      </c>
      <c r="P84" t="s">
        <v>31</v>
      </c>
      <c r="Q84" t="s">
        <v>25</v>
      </c>
      <c r="R84">
        <v>17499</v>
      </c>
      <c r="S84" t="b">
        <f t="shared" si="12"/>
        <v>0</v>
      </c>
      <c r="T84">
        <f t="shared" si="13"/>
        <v>20939</v>
      </c>
      <c r="U84">
        <f t="shared" si="14"/>
        <v>28096.75</v>
      </c>
      <c r="V84">
        <f t="shared" si="15"/>
        <v>7157.75</v>
      </c>
      <c r="W84">
        <f t="shared" si="16"/>
        <v>-534.25</v>
      </c>
      <c r="X84">
        <f t="shared" si="17"/>
        <v>49570</v>
      </c>
    </row>
    <row r="85" spans="1:24" x14ac:dyDescent="0.35">
      <c r="A85" t="s">
        <v>122</v>
      </c>
      <c r="B85" t="s">
        <v>92</v>
      </c>
      <c r="C85">
        <v>12</v>
      </c>
      <c r="D85" t="s">
        <v>40</v>
      </c>
      <c r="E85" t="s">
        <v>64</v>
      </c>
      <c r="F85" t="s">
        <v>65</v>
      </c>
      <c r="G85" t="s">
        <v>18</v>
      </c>
      <c r="H85" t="s">
        <v>54</v>
      </c>
      <c r="I85" t="s">
        <v>55</v>
      </c>
      <c r="J85" t="s">
        <v>78</v>
      </c>
      <c r="K85" t="s">
        <v>41</v>
      </c>
      <c r="L85" t="s">
        <v>23</v>
      </c>
      <c r="M85">
        <v>3</v>
      </c>
      <c r="N85">
        <v>1</v>
      </c>
      <c r="O85" t="s">
        <v>37</v>
      </c>
      <c r="P85" t="s">
        <v>37</v>
      </c>
      <c r="Q85" t="s">
        <v>25</v>
      </c>
      <c r="R85">
        <v>14854</v>
      </c>
      <c r="S85" t="b">
        <f t="shared" si="12"/>
        <v>0</v>
      </c>
      <c r="T85">
        <f t="shared" si="13"/>
        <v>20939</v>
      </c>
      <c r="U85">
        <f t="shared" si="14"/>
        <v>28096.75</v>
      </c>
      <c r="V85">
        <f t="shared" si="15"/>
        <v>7157.75</v>
      </c>
      <c r="W85">
        <f t="shared" si="16"/>
        <v>-534.25</v>
      </c>
      <c r="X85">
        <f t="shared" si="17"/>
        <v>49570</v>
      </c>
    </row>
    <row r="86" spans="1:24" x14ac:dyDescent="0.35">
      <c r="A86" t="s">
        <v>123</v>
      </c>
      <c r="B86" t="s">
        <v>94</v>
      </c>
      <c r="C86">
        <v>6</v>
      </c>
      <c r="D86" t="s">
        <v>40</v>
      </c>
      <c r="E86" t="s">
        <v>16</v>
      </c>
      <c r="F86" t="s">
        <v>17</v>
      </c>
      <c r="G86" t="s">
        <v>53</v>
      </c>
      <c r="H86" t="s">
        <v>54</v>
      </c>
      <c r="I86" t="s">
        <v>20</v>
      </c>
      <c r="J86" t="s">
        <v>21</v>
      </c>
      <c r="K86" t="s">
        <v>41</v>
      </c>
      <c r="L86" t="s">
        <v>23</v>
      </c>
      <c r="M86">
        <v>3</v>
      </c>
      <c r="N86">
        <v>1</v>
      </c>
      <c r="O86" t="s">
        <v>31</v>
      </c>
      <c r="P86" t="s">
        <v>31</v>
      </c>
      <c r="Q86" t="s">
        <v>25</v>
      </c>
      <c r="R86">
        <v>32616</v>
      </c>
      <c r="S86" t="b">
        <f t="shared" si="12"/>
        <v>0</v>
      </c>
      <c r="T86">
        <f t="shared" si="13"/>
        <v>20939</v>
      </c>
      <c r="U86">
        <f t="shared" si="14"/>
        <v>28096.75</v>
      </c>
      <c r="V86">
        <f t="shared" si="15"/>
        <v>7157.75</v>
      </c>
      <c r="W86">
        <f t="shared" si="16"/>
        <v>-534.25</v>
      </c>
      <c r="X86">
        <f t="shared" si="17"/>
        <v>49570</v>
      </c>
    </row>
    <row r="87" spans="1:24" x14ac:dyDescent="0.35">
      <c r="A87" t="s">
        <v>123</v>
      </c>
      <c r="B87" t="s">
        <v>94</v>
      </c>
      <c r="C87">
        <v>12</v>
      </c>
      <c r="D87" t="s">
        <v>40</v>
      </c>
      <c r="E87" t="s">
        <v>16</v>
      </c>
      <c r="F87" t="s">
        <v>17</v>
      </c>
      <c r="G87" t="s">
        <v>53</v>
      </c>
      <c r="H87" t="s">
        <v>54</v>
      </c>
      <c r="I87" t="s">
        <v>20</v>
      </c>
      <c r="J87" t="s">
        <v>21</v>
      </c>
      <c r="K87" t="s">
        <v>41</v>
      </c>
      <c r="L87" t="s">
        <v>23</v>
      </c>
      <c r="M87">
        <v>3</v>
      </c>
      <c r="N87">
        <v>1</v>
      </c>
      <c r="O87" t="s">
        <v>37</v>
      </c>
      <c r="P87" t="s">
        <v>37</v>
      </c>
      <c r="Q87" t="s">
        <v>25</v>
      </c>
      <c r="R87">
        <v>28608</v>
      </c>
      <c r="S87" t="b">
        <f t="shared" si="12"/>
        <v>0</v>
      </c>
      <c r="T87">
        <f t="shared" si="13"/>
        <v>20939</v>
      </c>
      <c r="U87">
        <f t="shared" si="14"/>
        <v>28096.75</v>
      </c>
      <c r="V87">
        <f t="shared" si="15"/>
        <v>7157.75</v>
      </c>
      <c r="W87">
        <f t="shared" si="16"/>
        <v>-534.25</v>
      </c>
      <c r="X87">
        <f t="shared" si="17"/>
        <v>49570</v>
      </c>
    </row>
    <row r="88" spans="1:24" x14ac:dyDescent="0.35">
      <c r="A88" t="s">
        <v>124</v>
      </c>
      <c r="B88" t="s">
        <v>101</v>
      </c>
      <c r="C88">
        <v>6</v>
      </c>
      <c r="D88" t="s">
        <v>15</v>
      </c>
      <c r="E88" t="s">
        <v>64</v>
      </c>
      <c r="F88" t="s">
        <v>65</v>
      </c>
      <c r="G88" t="s">
        <v>53</v>
      </c>
      <c r="H88" t="s">
        <v>82</v>
      </c>
      <c r="I88" t="s">
        <v>55</v>
      </c>
      <c r="J88" t="s">
        <v>83</v>
      </c>
      <c r="K88" t="s">
        <v>22</v>
      </c>
      <c r="L88" t="s">
        <v>23</v>
      </c>
      <c r="M88">
        <v>3</v>
      </c>
      <c r="N88">
        <v>1</v>
      </c>
      <c r="O88" t="s">
        <v>31</v>
      </c>
      <c r="P88" t="s">
        <v>31</v>
      </c>
      <c r="Q88" t="s">
        <v>25</v>
      </c>
      <c r="R88">
        <v>23551</v>
      </c>
      <c r="S88" t="b">
        <f>OR(R88&lt;W88,R88&gt;X88)</f>
        <v>0</v>
      </c>
      <c r="T88">
        <f t="shared" si="13"/>
        <v>20939</v>
      </c>
      <c r="U88">
        <f t="shared" si="14"/>
        <v>28096.75</v>
      </c>
      <c r="V88">
        <f t="shared" si="15"/>
        <v>7157.75</v>
      </c>
      <c r="W88">
        <f t="shared" si="16"/>
        <v>-534.25</v>
      </c>
      <c r="X88">
        <f t="shared" si="17"/>
        <v>49570</v>
      </c>
    </row>
    <row r="89" spans="1:24" x14ac:dyDescent="0.35">
      <c r="A89" t="s">
        <v>124</v>
      </c>
      <c r="B89" t="s">
        <v>101</v>
      </c>
      <c r="C89">
        <v>12</v>
      </c>
      <c r="D89" t="s">
        <v>15</v>
      </c>
      <c r="E89" t="s">
        <v>64</v>
      </c>
      <c r="F89" t="s">
        <v>65</v>
      </c>
      <c r="G89" t="s">
        <v>53</v>
      </c>
      <c r="H89" t="s">
        <v>82</v>
      </c>
      <c r="I89" t="s">
        <v>55</v>
      </c>
      <c r="J89" t="s">
        <v>83</v>
      </c>
      <c r="K89" t="s">
        <v>22</v>
      </c>
      <c r="L89" t="s">
        <v>23</v>
      </c>
      <c r="M89">
        <v>3</v>
      </c>
      <c r="N89">
        <v>1</v>
      </c>
      <c r="O89" t="s">
        <v>37</v>
      </c>
      <c r="P89" t="s">
        <v>37</v>
      </c>
      <c r="Q89" t="s">
        <v>25</v>
      </c>
      <c r="R89">
        <v>18103</v>
      </c>
      <c r="S89" t="b">
        <f t="shared" ref="S89" si="18">OR(R89&lt;W89,R89&gt;X89)</f>
        <v>0</v>
      </c>
      <c r="T89">
        <f t="shared" si="13"/>
        <v>20939</v>
      </c>
      <c r="U89">
        <f t="shared" si="14"/>
        <v>28096.75</v>
      </c>
      <c r="V89">
        <f t="shared" si="15"/>
        <v>7157.75</v>
      </c>
      <c r="W89">
        <f t="shared" si="16"/>
        <v>-534.25</v>
      </c>
      <c r="X89">
        <f t="shared" si="17"/>
        <v>49570</v>
      </c>
    </row>
    <row r="90" spans="1:24" x14ac:dyDescent="0.35">
      <c r="A90" t="s">
        <v>103</v>
      </c>
      <c r="B90" t="s">
        <v>39</v>
      </c>
      <c r="C90">
        <v>1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>
        <v>5</v>
      </c>
      <c r="N90">
        <v>1</v>
      </c>
      <c r="O90" t="s">
        <v>24</v>
      </c>
      <c r="P90" t="s">
        <v>24</v>
      </c>
      <c r="Q90" t="s">
        <v>25</v>
      </c>
      <c r="R90">
        <v>64137</v>
      </c>
      <c r="S90" t="b">
        <f>OR(R90&lt;W90,R90&gt;X90)</f>
        <v>0</v>
      </c>
      <c r="T90">
        <f>_xlfn.PERCENTILE.INC(R90:R131,0.25)</f>
        <v>38601.5</v>
      </c>
      <c r="U90">
        <f>_xlfn.PERCENTILE.INC(R90:R131,0.75)</f>
        <v>61707.5</v>
      </c>
      <c r="V90">
        <f>U90-T90</f>
        <v>23106</v>
      </c>
      <c r="W90">
        <f>T90-(3*V90)</f>
        <v>-30716.5</v>
      </c>
      <c r="X90">
        <f>U90+(3*V90)</f>
        <v>131025.5</v>
      </c>
    </row>
    <row r="91" spans="1:24" x14ac:dyDescent="0.35">
      <c r="A91" t="s">
        <v>103</v>
      </c>
      <c r="B91" t="s">
        <v>39</v>
      </c>
      <c r="C91">
        <v>10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  <c r="M91">
        <v>5</v>
      </c>
      <c r="N91">
        <v>1</v>
      </c>
      <c r="O91" t="s">
        <v>35</v>
      </c>
      <c r="P91" t="s">
        <v>35</v>
      </c>
      <c r="Q91" t="s">
        <v>25</v>
      </c>
      <c r="R91">
        <v>50635</v>
      </c>
      <c r="S91" t="b">
        <f t="shared" ref="S91:S131" si="19">OR(R91&lt;W91,R91&gt;X91)</f>
        <v>0</v>
      </c>
      <c r="T91">
        <f>T90</f>
        <v>38601.5</v>
      </c>
      <c r="U91">
        <f>U90</f>
        <v>61707.5</v>
      </c>
      <c r="V91">
        <f>V90</f>
        <v>23106</v>
      </c>
      <c r="W91">
        <f>W90</f>
        <v>-30716.5</v>
      </c>
      <c r="X91">
        <f>X90</f>
        <v>131025.5</v>
      </c>
    </row>
    <row r="92" spans="1:24" x14ac:dyDescent="0.35">
      <c r="A92" t="s">
        <v>104</v>
      </c>
      <c r="B92" t="s">
        <v>51</v>
      </c>
      <c r="C92">
        <v>1</v>
      </c>
      <c r="D92" t="s">
        <v>40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41</v>
      </c>
      <c r="L92" t="s">
        <v>23</v>
      </c>
      <c r="M92">
        <v>5</v>
      </c>
      <c r="N92">
        <v>1</v>
      </c>
      <c r="O92" t="s">
        <v>24</v>
      </c>
      <c r="P92" t="s">
        <v>42</v>
      </c>
      <c r="Q92" t="s">
        <v>43</v>
      </c>
      <c r="R92">
        <v>51784</v>
      </c>
      <c r="S92" t="b">
        <f t="shared" si="19"/>
        <v>0</v>
      </c>
      <c r="T92">
        <f t="shared" ref="T92:T133" si="20">T91</f>
        <v>38601.5</v>
      </c>
      <c r="U92">
        <f t="shared" ref="U92:U133" si="21">U91</f>
        <v>61707.5</v>
      </c>
      <c r="V92">
        <f t="shared" ref="V92:V133" si="22">V91</f>
        <v>23106</v>
      </c>
      <c r="W92">
        <f t="shared" ref="W92:W133" si="23">W91</f>
        <v>-30716.5</v>
      </c>
      <c r="X92">
        <f t="shared" ref="X92:X133" si="24">X91</f>
        <v>131025.5</v>
      </c>
    </row>
    <row r="93" spans="1:24" x14ac:dyDescent="0.35">
      <c r="A93" t="s">
        <v>104</v>
      </c>
      <c r="B93" t="s">
        <v>51</v>
      </c>
      <c r="C93">
        <v>10</v>
      </c>
      <c r="D93" t="s">
        <v>40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41</v>
      </c>
      <c r="L93" t="s">
        <v>23</v>
      </c>
      <c r="M93">
        <v>5</v>
      </c>
      <c r="N93">
        <v>1</v>
      </c>
      <c r="O93" t="s">
        <v>35</v>
      </c>
      <c r="P93" t="s">
        <v>48</v>
      </c>
      <c r="Q93" t="s">
        <v>43</v>
      </c>
      <c r="R93">
        <v>39091</v>
      </c>
      <c r="S93" t="b">
        <f t="shared" si="19"/>
        <v>0</v>
      </c>
      <c r="T93">
        <f t="shared" si="20"/>
        <v>38601.5</v>
      </c>
      <c r="U93">
        <f t="shared" si="21"/>
        <v>61707.5</v>
      </c>
      <c r="V93">
        <f t="shared" si="22"/>
        <v>23106</v>
      </c>
      <c r="W93">
        <f t="shared" si="23"/>
        <v>-30716.5</v>
      </c>
      <c r="X93">
        <f t="shared" si="24"/>
        <v>131025.5</v>
      </c>
    </row>
    <row r="94" spans="1:24" x14ac:dyDescent="0.35">
      <c r="A94" t="s">
        <v>105</v>
      </c>
      <c r="B94" t="s">
        <v>58</v>
      </c>
      <c r="C94">
        <v>1</v>
      </c>
      <c r="D94" t="s">
        <v>52</v>
      </c>
      <c r="E94" t="s">
        <v>16</v>
      </c>
      <c r="F94" t="s">
        <v>17</v>
      </c>
      <c r="G94" t="s">
        <v>53</v>
      </c>
      <c r="H94" t="s">
        <v>54</v>
      </c>
      <c r="I94" t="s">
        <v>55</v>
      </c>
      <c r="J94" t="s">
        <v>56</v>
      </c>
      <c r="K94" t="s">
        <v>22</v>
      </c>
      <c r="L94" t="s">
        <v>23</v>
      </c>
      <c r="M94">
        <v>5</v>
      </c>
      <c r="N94">
        <v>1</v>
      </c>
      <c r="O94" t="s">
        <v>24</v>
      </c>
      <c r="P94" t="s">
        <v>24</v>
      </c>
      <c r="Q94" t="s">
        <v>25</v>
      </c>
      <c r="R94">
        <v>83605</v>
      </c>
      <c r="S94" t="b">
        <f t="shared" si="19"/>
        <v>0</v>
      </c>
      <c r="T94">
        <f t="shared" si="20"/>
        <v>38601.5</v>
      </c>
      <c r="U94">
        <f t="shared" si="21"/>
        <v>61707.5</v>
      </c>
      <c r="V94">
        <f t="shared" si="22"/>
        <v>23106</v>
      </c>
      <c r="W94">
        <f t="shared" si="23"/>
        <v>-30716.5</v>
      </c>
      <c r="X94">
        <f t="shared" si="24"/>
        <v>131025.5</v>
      </c>
    </row>
    <row r="95" spans="1:24" x14ac:dyDescent="0.35">
      <c r="A95" t="s">
        <v>105</v>
      </c>
      <c r="B95" t="s">
        <v>58</v>
      </c>
      <c r="C95">
        <v>10</v>
      </c>
      <c r="D95" t="s">
        <v>52</v>
      </c>
      <c r="E95" t="s">
        <v>16</v>
      </c>
      <c r="F95" t="s">
        <v>17</v>
      </c>
      <c r="G95" t="s">
        <v>53</v>
      </c>
      <c r="H95" t="s">
        <v>54</v>
      </c>
      <c r="I95" t="s">
        <v>55</v>
      </c>
      <c r="J95" t="s">
        <v>56</v>
      </c>
      <c r="K95" t="s">
        <v>22</v>
      </c>
      <c r="L95" t="s">
        <v>23</v>
      </c>
      <c r="M95">
        <v>5</v>
      </c>
      <c r="N95">
        <v>1</v>
      </c>
      <c r="O95" t="s">
        <v>35</v>
      </c>
      <c r="P95" t="s">
        <v>35</v>
      </c>
      <c r="Q95" t="s">
        <v>25</v>
      </c>
      <c r="R95">
        <v>41389</v>
      </c>
      <c r="S95" t="b">
        <f t="shared" si="19"/>
        <v>0</v>
      </c>
      <c r="T95">
        <f t="shared" si="20"/>
        <v>38601.5</v>
      </c>
      <c r="U95">
        <f t="shared" si="21"/>
        <v>61707.5</v>
      </c>
      <c r="V95">
        <f t="shared" si="22"/>
        <v>23106</v>
      </c>
      <c r="W95">
        <f t="shared" si="23"/>
        <v>-30716.5</v>
      </c>
      <c r="X95">
        <f t="shared" si="24"/>
        <v>131025.5</v>
      </c>
    </row>
    <row r="96" spans="1:24" x14ac:dyDescent="0.35">
      <c r="A96" t="s">
        <v>106</v>
      </c>
      <c r="B96" t="s">
        <v>60</v>
      </c>
      <c r="C96">
        <v>1</v>
      </c>
      <c r="D96" t="s">
        <v>59</v>
      </c>
      <c r="E96" t="s">
        <v>16</v>
      </c>
      <c r="F96" t="s">
        <v>17</v>
      </c>
      <c r="G96" t="s">
        <v>18</v>
      </c>
      <c r="H96" t="s">
        <v>54</v>
      </c>
      <c r="I96" t="s">
        <v>55</v>
      </c>
      <c r="J96" t="s">
        <v>21</v>
      </c>
      <c r="K96" t="s">
        <v>22</v>
      </c>
      <c r="L96" t="s">
        <v>23</v>
      </c>
      <c r="M96">
        <v>5</v>
      </c>
      <c r="N96">
        <v>1</v>
      </c>
      <c r="O96" t="s">
        <v>24</v>
      </c>
      <c r="P96" t="s">
        <v>24</v>
      </c>
      <c r="Q96" t="s">
        <v>25</v>
      </c>
      <c r="R96">
        <v>63853</v>
      </c>
      <c r="S96" t="b">
        <f t="shared" si="19"/>
        <v>0</v>
      </c>
      <c r="T96">
        <f t="shared" si="20"/>
        <v>38601.5</v>
      </c>
      <c r="U96">
        <f t="shared" si="21"/>
        <v>61707.5</v>
      </c>
      <c r="V96">
        <f t="shared" si="22"/>
        <v>23106</v>
      </c>
      <c r="W96">
        <f t="shared" si="23"/>
        <v>-30716.5</v>
      </c>
      <c r="X96">
        <f t="shared" si="24"/>
        <v>131025.5</v>
      </c>
    </row>
    <row r="97" spans="1:24" x14ac:dyDescent="0.35">
      <c r="A97" t="s">
        <v>106</v>
      </c>
      <c r="B97" t="s">
        <v>60</v>
      </c>
      <c r="C97">
        <v>10</v>
      </c>
      <c r="D97" t="s">
        <v>59</v>
      </c>
      <c r="E97" t="s">
        <v>16</v>
      </c>
      <c r="F97" t="s">
        <v>17</v>
      </c>
      <c r="G97" t="s">
        <v>18</v>
      </c>
      <c r="H97" t="s">
        <v>54</v>
      </c>
      <c r="I97" t="s">
        <v>55</v>
      </c>
      <c r="J97" t="s">
        <v>21</v>
      </c>
      <c r="K97" t="s">
        <v>22</v>
      </c>
      <c r="L97" t="s">
        <v>23</v>
      </c>
      <c r="M97">
        <v>5</v>
      </c>
      <c r="N97">
        <v>1</v>
      </c>
      <c r="O97" t="s">
        <v>35</v>
      </c>
      <c r="P97" t="s">
        <v>35</v>
      </c>
      <c r="Q97" t="s">
        <v>25</v>
      </c>
      <c r="R97">
        <v>38589</v>
      </c>
      <c r="S97" t="b">
        <f t="shared" si="19"/>
        <v>0</v>
      </c>
      <c r="T97">
        <f t="shared" si="20"/>
        <v>38601.5</v>
      </c>
      <c r="U97">
        <f t="shared" si="21"/>
        <v>61707.5</v>
      </c>
      <c r="V97">
        <f t="shared" si="22"/>
        <v>23106</v>
      </c>
      <c r="W97">
        <f t="shared" si="23"/>
        <v>-30716.5</v>
      </c>
      <c r="X97">
        <f t="shared" si="24"/>
        <v>131025.5</v>
      </c>
    </row>
    <row r="98" spans="1:24" x14ac:dyDescent="0.35">
      <c r="A98" t="s">
        <v>107</v>
      </c>
      <c r="B98" t="s">
        <v>62</v>
      </c>
      <c r="C98">
        <v>1</v>
      </c>
      <c r="D98" t="s">
        <v>15</v>
      </c>
      <c r="E98" t="s">
        <v>16</v>
      </c>
      <c r="F98" t="s">
        <v>17</v>
      </c>
      <c r="G98" t="s">
        <v>53</v>
      </c>
      <c r="H98" t="s">
        <v>72</v>
      </c>
      <c r="I98" t="s">
        <v>20</v>
      </c>
      <c r="J98" t="s">
        <v>21</v>
      </c>
      <c r="K98" t="s">
        <v>41</v>
      </c>
      <c r="L98" t="s">
        <v>23</v>
      </c>
      <c r="M98">
        <v>5</v>
      </c>
      <c r="N98">
        <v>1</v>
      </c>
      <c r="O98" t="s">
        <v>24</v>
      </c>
      <c r="P98" t="s">
        <v>24</v>
      </c>
      <c r="Q98" t="s">
        <v>25</v>
      </c>
      <c r="R98">
        <v>44620</v>
      </c>
      <c r="S98" t="b">
        <f t="shared" si="19"/>
        <v>0</v>
      </c>
      <c r="T98">
        <f t="shared" si="20"/>
        <v>38601.5</v>
      </c>
      <c r="U98">
        <f t="shared" si="21"/>
        <v>61707.5</v>
      </c>
      <c r="V98">
        <f t="shared" si="22"/>
        <v>23106</v>
      </c>
      <c r="W98">
        <f t="shared" si="23"/>
        <v>-30716.5</v>
      </c>
      <c r="X98">
        <f t="shared" si="24"/>
        <v>131025.5</v>
      </c>
    </row>
    <row r="99" spans="1:24" x14ac:dyDescent="0.35">
      <c r="A99" t="s">
        <v>107</v>
      </c>
      <c r="B99" t="s">
        <v>62</v>
      </c>
      <c r="C99">
        <v>10</v>
      </c>
      <c r="D99" t="s">
        <v>15</v>
      </c>
      <c r="E99" t="s">
        <v>16</v>
      </c>
      <c r="F99" t="s">
        <v>17</v>
      </c>
      <c r="G99" t="s">
        <v>53</v>
      </c>
      <c r="H99" t="s">
        <v>72</v>
      </c>
      <c r="I99" t="s">
        <v>20</v>
      </c>
      <c r="J99" t="s">
        <v>21</v>
      </c>
      <c r="K99" t="s">
        <v>41</v>
      </c>
      <c r="L99" t="s">
        <v>23</v>
      </c>
      <c r="M99">
        <v>5</v>
      </c>
      <c r="N99">
        <v>1</v>
      </c>
      <c r="O99" t="s">
        <v>35</v>
      </c>
      <c r="P99" t="s">
        <v>73</v>
      </c>
      <c r="Q99" t="s">
        <v>43</v>
      </c>
      <c r="R99">
        <v>50411</v>
      </c>
      <c r="S99" t="b">
        <f t="shared" si="19"/>
        <v>0</v>
      </c>
      <c r="T99">
        <f t="shared" si="20"/>
        <v>38601.5</v>
      </c>
      <c r="U99">
        <f t="shared" si="21"/>
        <v>61707.5</v>
      </c>
      <c r="V99">
        <f t="shared" si="22"/>
        <v>23106</v>
      </c>
      <c r="W99">
        <f t="shared" si="23"/>
        <v>-30716.5</v>
      </c>
      <c r="X99">
        <f t="shared" si="24"/>
        <v>131025.5</v>
      </c>
    </row>
    <row r="100" spans="1:24" x14ac:dyDescent="0.35">
      <c r="A100" t="s">
        <v>108</v>
      </c>
      <c r="B100" t="s">
        <v>63</v>
      </c>
      <c r="C100">
        <v>1</v>
      </c>
      <c r="D100" t="s">
        <v>52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 t="s">
        <v>56</v>
      </c>
      <c r="K100" t="s">
        <v>61</v>
      </c>
      <c r="L100" t="s">
        <v>23</v>
      </c>
      <c r="M100">
        <v>5</v>
      </c>
      <c r="N100">
        <v>1</v>
      </c>
      <c r="O100" t="s">
        <v>24</v>
      </c>
      <c r="P100" t="s">
        <v>24</v>
      </c>
      <c r="Q100" t="s">
        <v>25</v>
      </c>
      <c r="R100">
        <v>42882</v>
      </c>
      <c r="S100" t="b">
        <f t="shared" si="19"/>
        <v>0</v>
      </c>
      <c r="T100">
        <f t="shared" si="20"/>
        <v>38601.5</v>
      </c>
      <c r="U100">
        <f t="shared" si="21"/>
        <v>61707.5</v>
      </c>
      <c r="V100">
        <f t="shared" si="22"/>
        <v>23106</v>
      </c>
      <c r="W100">
        <f t="shared" si="23"/>
        <v>-30716.5</v>
      </c>
      <c r="X100">
        <f t="shared" si="24"/>
        <v>131025.5</v>
      </c>
    </row>
    <row r="101" spans="1:24" x14ac:dyDescent="0.35">
      <c r="A101" t="s">
        <v>108</v>
      </c>
      <c r="B101" t="s">
        <v>63</v>
      </c>
      <c r="C101">
        <v>10</v>
      </c>
      <c r="D101" t="s">
        <v>52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56</v>
      </c>
      <c r="K101" t="s">
        <v>61</v>
      </c>
      <c r="L101" t="s">
        <v>23</v>
      </c>
      <c r="M101">
        <v>5</v>
      </c>
      <c r="N101">
        <v>1</v>
      </c>
      <c r="O101" t="s">
        <v>35</v>
      </c>
      <c r="P101" t="s">
        <v>35</v>
      </c>
      <c r="Q101" t="s">
        <v>25</v>
      </c>
      <c r="R101">
        <v>40591</v>
      </c>
      <c r="S101" t="b">
        <f t="shared" si="19"/>
        <v>0</v>
      </c>
      <c r="T101">
        <f t="shared" si="20"/>
        <v>38601.5</v>
      </c>
      <c r="U101">
        <f t="shared" si="21"/>
        <v>61707.5</v>
      </c>
      <c r="V101">
        <f t="shared" si="22"/>
        <v>23106</v>
      </c>
      <c r="W101">
        <f t="shared" si="23"/>
        <v>-30716.5</v>
      </c>
      <c r="X101">
        <f t="shared" si="24"/>
        <v>131025.5</v>
      </c>
    </row>
    <row r="102" spans="1:24" x14ac:dyDescent="0.35">
      <c r="A102" t="s">
        <v>109</v>
      </c>
      <c r="B102" t="s">
        <v>71</v>
      </c>
      <c r="C102">
        <v>1</v>
      </c>
      <c r="D102" t="s">
        <v>15</v>
      </c>
      <c r="E102" t="s">
        <v>16</v>
      </c>
      <c r="F102" t="s">
        <v>17</v>
      </c>
      <c r="G102" t="s">
        <v>53</v>
      </c>
      <c r="H102" t="s">
        <v>54</v>
      </c>
      <c r="I102" t="s">
        <v>20</v>
      </c>
      <c r="J102" t="s">
        <v>21</v>
      </c>
      <c r="K102" t="s">
        <v>41</v>
      </c>
      <c r="L102" t="s">
        <v>23</v>
      </c>
      <c r="M102">
        <v>5</v>
      </c>
      <c r="N102">
        <v>1</v>
      </c>
      <c r="O102" t="s">
        <v>24</v>
      </c>
      <c r="P102" t="s">
        <v>24</v>
      </c>
      <c r="Q102" t="s">
        <v>25</v>
      </c>
      <c r="R102">
        <v>56011</v>
      </c>
      <c r="S102" t="b">
        <f t="shared" si="19"/>
        <v>0</v>
      </c>
      <c r="T102">
        <f t="shared" si="20"/>
        <v>38601.5</v>
      </c>
      <c r="U102">
        <f t="shared" si="21"/>
        <v>61707.5</v>
      </c>
      <c r="V102">
        <f t="shared" si="22"/>
        <v>23106</v>
      </c>
      <c r="W102">
        <f t="shared" si="23"/>
        <v>-30716.5</v>
      </c>
      <c r="X102">
        <f t="shared" si="24"/>
        <v>131025.5</v>
      </c>
    </row>
    <row r="103" spans="1:24" x14ac:dyDescent="0.35">
      <c r="A103" t="s">
        <v>109</v>
      </c>
      <c r="B103" t="s">
        <v>71</v>
      </c>
      <c r="C103">
        <v>10</v>
      </c>
      <c r="D103" t="s">
        <v>15</v>
      </c>
      <c r="E103" t="s">
        <v>16</v>
      </c>
      <c r="F103" t="s">
        <v>17</v>
      </c>
      <c r="G103" t="s">
        <v>53</v>
      </c>
      <c r="H103" t="s">
        <v>54</v>
      </c>
      <c r="I103" t="s">
        <v>20</v>
      </c>
      <c r="J103" t="s">
        <v>21</v>
      </c>
      <c r="K103" t="s">
        <v>41</v>
      </c>
      <c r="L103" t="s">
        <v>23</v>
      </c>
      <c r="M103">
        <v>5</v>
      </c>
      <c r="N103">
        <v>1</v>
      </c>
      <c r="O103" t="s">
        <v>35</v>
      </c>
      <c r="P103" t="s">
        <v>35</v>
      </c>
      <c r="Q103" t="s">
        <v>25</v>
      </c>
      <c r="R103">
        <v>40757</v>
      </c>
      <c r="S103" t="b">
        <f t="shared" si="19"/>
        <v>0</v>
      </c>
      <c r="T103">
        <f t="shared" si="20"/>
        <v>38601.5</v>
      </c>
      <c r="U103">
        <f t="shared" si="21"/>
        <v>61707.5</v>
      </c>
      <c r="V103">
        <f t="shared" si="22"/>
        <v>23106</v>
      </c>
      <c r="W103">
        <f t="shared" si="23"/>
        <v>-30716.5</v>
      </c>
      <c r="X103">
        <f t="shared" si="24"/>
        <v>131025.5</v>
      </c>
    </row>
    <row r="104" spans="1:24" x14ac:dyDescent="0.35">
      <c r="A104" t="s">
        <v>110</v>
      </c>
      <c r="B104" t="s">
        <v>69</v>
      </c>
      <c r="C104">
        <v>1</v>
      </c>
      <c r="D104" t="s">
        <v>40</v>
      </c>
      <c r="E104" t="s">
        <v>64</v>
      </c>
      <c r="F104" t="s">
        <v>65</v>
      </c>
      <c r="G104" t="s">
        <v>53</v>
      </c>
      <c r="H104" t="s">
        <v>54</v>
      </c>
      <c r="I104" t="s">
        <v>20</v>
      </c>
      <c r="J104" t="s">
        <v>66</v>
      </c>
      <c r="K104" t="s">
        <v>41</v>
      </c>
      <c r="L104" t="s">
        <v>23</v>
      </c>
      <c r="M104">
        <v>5</v>
      </c>
      <c r="N104">
        <v>1</v>
      </c>
      <c r="O104" t="s">
        <v>24</v>
      </c>
      <c r="P104" t="s">
        <v>42</v>
      </c>
      <c r="Q104" t="s">
        <v>43</v>
      </c>
      <c r="R104">
        <v>51288</v>
      </c>
      <c r="S104" t="b">
        <f t="shared" si="19"/>
        <v>0</v>
      </c>
      <c r="T104">
        <f t="shared" si="20"/>
        <v>38601.5</v>
      </c>
      <c r="U104">
        <f t="shared" si="21"/>
        <v>61707.5</v>
      </c>
      <c r="V104">
        <f t="shared" si="22"/>
        <v>23106</v>
      </c>
      <c r="W104">
        <f t="shared" si="23"/>
        <v>-30716.5</v>
      </c>
      <c r="X104">
        <f t="shared" si="24"/>
        <v>131025.5</v>
      </c>
    </row>
    <row r="105" spans="1:24" x14ac:dyDescent="0.35">
      <c r="A105" t="s">
        <v>110</v>
      </c>
      <c r="B105" t="s">
        <v>69</v>
      </c>
      <c r="C105">
        <v>10</v>
      </c>
      <c r="D105" t="s">
        <v>40</v>
      </c>
      <c r="E105" t="s">
        <v>64</v>
      </c>
      <c r="F105" t="s">
        <v>65</v>
      </c>
      <c r="G105" t="s">
        <v>53</v>
      </c>
      <c r="H105" t="s">
        <v>54</v>
      </c>
      <c r="I105" t="s">
        <v>20</v>
      </c>
      <c r="J105" t="s">
        <v>66</v>
      </c>
      <c r="K105" t="s">
        <v>41</v>
      </c>
      <c r="L105" t="s">
        <v>23</v>
      </c>
      <c r="M105">
        <v>5</v>
      </c>
      <c r="N105">
        <v>1</v>
      </c>
      <c r="O105" t="s">
        <v>35</v>
      </c>
      <c r="P105" t="s">
        <v>35</v>
      </c>
      <c r="Q105" t="s">
        <v>25</v>
      </c>
      <c r="R105">
        <v>38359</v>
      </c>
      <c r="S105" t="b">
        <f t="shared" si="19"/>
        <v>0</v>
      </c>
      <c r="T105">
        <f t="shared" si="20"/>
        <v>38601.5</v>
      </c>
      <c r="U105">
        <f t="shared" si="21"/>
        <v>61707.5</v>
      </c>
      <c r="V105">
        <f t="shared" si="22"/>
        <v>23106</v>
      </c>
      <c r="W105">
        <f t="shared" si="23"/>
        <v>-30716.5</v>
      </c>
      <c r="X105">
        <f t="shared" si="24"/>
        <v>131025.5</v>
      </c>
    </row>
    <row r="106" spans="1:24" x14ac:dyDescent="0.35">
      <c r="A106" t="s">
        <v>111</v>
      </c>
      <c r="B106" t="s">
        <v>70</v>
      </c>
      <c r="C106">
        <v>1</v>
      </c>
      <c r="D106" t="s">
        <v>52</v>
      </c>
      <c r="E106" t="s">
        <v>64</v>
      </c>
      <c r="F106" t="s">
        <v>65</v>
      </c>
      <c r="G106" t="s">
        <v>53</v>
      </c>
      <c r="H106" t="s">
        <v>68</v>
      </c>
      <c r="I106" t="s">
        <v>20</v>
      </c>
      <c r="J106" t="s">
        <v>21</v>
      </c>
      <c r="K106" t="s">
        <v>41</v>
      </c>
      <c r="L106" t="s">
        <v>23</v>
      </c>
      <c r="M106">
        <v>5</v>
      </c>
      <c r="N106">
        <v>1</v>
      </c>
      <c r="O106" t="s">
        <v>24</v>
      </c>
      <c r="P106" t="s">
        <v>24</v>
      </c>
      <c r="Q106" t="s">
        <v>25</v>
      </c>
      <c r="R106">
        <v>281987</v>
      </c>
      <c r="S106" t="b">
        <f t="shared" si="19"/>
        <v>1</v>
      </c>
      <c r="T106">
        <f t="shared" si="20"/>
        <v>38601.5</v>
      </c>
      <c r="U106">
        <f t="shared" si="21"/>
        <v>61707.5</v>
      </c>
      <c r="V106">
        <f t="shared" si="22"/>
        <v>23106</v>
      </c>
      <c r="W106">
        <f t="shared" si="23"/>
        <v>-30716.5</v>
      </c>
      <c r="X106">
        <f t="shared" si="24"/>
        <v>131025.5</v>
      </c>
    </row>
    <row r="107" spans="1:24" x14ac:dyDescent="0.35">
      <c r="A107" t="s">
        <v>111</v>
      </c>
      <c r="B107" t="s">
        <v>70</v>
      </c>
      <c r="C107">
        <v>10</v>
      </c>
      <c r="D107" t="s">
        <v>52</v>
      </c>
      <c r="E107" t="s">
        <v>64</v>
      </c>
      <c r="F107" t="s">
        <v>65</v>
      </c>
      <c r="G107" t="s">
        <v>53</v>
      </c>
      <c r="H107" t="s">
        <v>68</v>
      </c>
      <c r="I107" t="s">
        <v>20</v>
      </c>
      <c r="J107" t="s">
        <v>21</v>
      </c>
      <c r="K107" t="s">
        <v>41</v>
      </c>
      <c r="L107" t="s">
        <v>23</v>
      </c>
      <c r="M107">
        <v>5</v>
      </c>
      <c r="N107">
        <v>1</v>
      </c>
      <c r="O107" t="s">
        <v>35</v>
      </c>
      <c r="P107" t="s">
        <v>35</v>
      </c>
      <c r="Q107" t="s">
        <v>25</v>
      </c>
      <c r="R107">
        <v>50670</v>
      </c>
      <c r="S107" t="b">
        <f t="shared" si="19"/>
        <v>0</v>
      </c>
      <c r="T107">
        <f t="shared" si="20"/>
        <v>38601.5</v>
      </c>
      <c r="U107">
        <f t="shared" si="21"/>
        <v>61707.5</v>
      </c>
      <c r="V107">
        <f t="shared" si="22"/>
        <v>23106</v>
      </c>
      <c r="W107">
        <f t="shared" si="23"/>
        <v>-30716.5</v>
      </c>
      <c r="X107">
        <f t="shared" si="24"/>
        <v>131025.5</v>
      </c>
    </row>
    <row r="108" spans="1:24" x14ac:dyDescent="0.35">
      <c r="A108" t="s">
        <v>112</v>
      </c>
      <c r="B108" t="s">
        <v>74</v>
      </c>
      <c r="C108">
        <v>1</v>
      </c>
      <c r="D108" t="s">
        <v>15</v>
      </c>
      <c r="E108" t="s">
        <v>16</v>
      </c>
      <c r="F108" t="s">
        <v>17</v>
      </c>
      <c r="G108" t="s">
        <v>18</v>
      </c>
      <c r="H108" t="s">
        <v>54</v>
      </c>
      <c r="I108" t="s">
        <v>20</v>
      </c>
      <c r="J108" t="s">
        <v>21</v>
      </c>
      <c r="K108" t="s">
        <v>41</v>
      </c>
      <c r="L108" t="s">
        <v>23</v>
      </c>
      <c r="M108">
        <v>5</v>
      </c>
      <c r="N108">
        <v>1</v>
      </c>
      <c r="O108" t="s">
        <v>24</v>
      </c>
      <c r="P108" t="s">
        <v>24</v>
      </c>
      <c r="Q108" t="s">
        <v>25</v>
      </c>
      <c r="R108">
        <v>38639</v>
      </c>
      <c r="S108" t="b">
        <f t="shared" si="19"/>
        <v>0</v>
      </c>
      <c r="T108">
        <f t="shared" si="20"/>
        <v>38601.5</v>
      </c>
      <c r="U108">
        <f t="shared" si="21"/>
        <v>61707.5</v>
      </c>
      <c r="V108">
        <f t="shared" si="22"/>
        <v>23106</v>
      </c>
      <c r="W108">
        <f t="shared" si="23"/>
        <v>-30716.5</v>
      </c>
      <c r="X108">
        <f t="shared" si="24"/>
        <v>131025.5</v>
      </c>
    </row>
    <row r="109" spans="1:24" x14ac:dyDescent="0.35">
      <c r="A109" t="s">
        <v>112</v>
      </c>
      <c r="B109" t="s">
        <v>74</v>
      </c>
      <c r="C109">
        <v>10</v>
      </c>
      <c r="D109" t="s">
        <v>15</v>
      </c>
      <c r="E109" t="s">
        <v>16</v>
      </c>
      <c r="F109" t="s">
        <v>17</v>
      </c>
      <c r="G109" t="s">
        <v>18</v>
      </c>
      <c r="H109" t="s">
        <v>54</v>
      </c>
      <c r="I109" t="s">
        <v>20</v>
      </c>
      <c r="J109" t="s">
        <v>21</v>
      </c>
      <c r="K109" t="s">
        <v>41</v>
      </c>
      <c r="L109" t="s">
        <v>23</v>
      </c>
      <c r="M109">
        <v>5</v>
      </c>
      <c r="N109">
        <v>1</v>
      </c>
      <c r="O109" t="s">
        <v>35</v>
      </c>
      <c r="P109" t="s">
        <v>35</v>
      </c>
      <c r="Q109" t="s">
        <v>25</v>
      </c>
      <c r="R109">
        <v>36087</v>
      </c>
      <c r="S109" t="b">
        <f t="shared" si="19"/>
        <v>0</v>
      </c>
      <c r="T109">
        <f t="shared" si="20"/>
        <v>38601.5</v>
      </c>
      <c r="U109">
        <f t="shared" si="21"/>
        <v>61707.5</v>
      </c>
      <c r="V109">
        <f t="shared" si="22"/>
        <v>23106</v>
      </c>
      <c r="W109">
        <f t="shared" si="23"/>
        <v>-30716.5</v>
      </c>
      <c r="X109">
        <f t="shared" si="24"/>
        <v>131025.5</v>
      </c>
    </row>
    <row r="110" spans="1:24" x14ac:dyDescent="0.35">
      <c r="A110" t="s">
        <v>113</v>
      </c>
      <c r="B110" t="s">
        <v>76</v>
      </c>
      <c r="C110">
        <v>1</v>
      </c>
      <c r="D110" t="s">
        <v>15</v>
      </c>
      <c r="E110" t="s">
        <v>16</v>
      </c>
      <c r="F110" t="s">
        <v>17</v>
      </c>
      <c r="G110" t="s">
        <v>18</v>
      </c>
      <c r="H110" t="s">
        <v>72</v>
      </c>
      <c r="I110" t="s">
        <v>20</v>
      </c>
      <c r="J110" t="s">
        <v>21</v>
      </c>
      <c r="K110" t="s">
        <v>22</v>
      </c>
      <c r="L110" t="s">
        <v>23</v>
      </c>
      <c r="M110">
        <v>5</v>
      </c>
      <c r="N110">
        <v>2</v>
      </c>
      <c r="O110" t="s">
        <v>24</v>
      </c>
      <c r="P110" t="s">
        <v>42</v>
      </c>
      <c r="Q110" t="s">
        <v>43</v>
      </c>
      <c r="R110">
        <v>30835</v>
      </c>
      <c r="S110" t="b">
        <f t="shared" si="19"/>
        <v>0</v>
      </c>
      <c r="T110">
        <f t="shared" si="20"/>
        <v>38601.5</v>
      </c>
      <c r="U110">
        <f t="shared" si="21"/>
        <v>61707.5</v>
      </c>
      <c r="V110">
        <f t="shared" si="22"/>
        <v>23106</v>
      </c>
      <c r="W110">
        <f t="shared" si="23"/>
        <v>-30716.5</v>
      </c>
      <c r="X110">
        <f t="shared" si="24"/>
        <v>131025.5</v>
      </c>
    </row>
    <row r="111" spans="1:24" x14ac:dyDescent="0.35">
      <c r="A111" t="s">
        <v>113</v>
      </c>
      <c r="B111" t="s">
        <v>76</v>
      </c>
      <c r="C111">
        <v>10</v>
      </c>
      <c r="D111" t="s">
        <v>15</v>
      </c>
      <c r="E111" t="s">
        <v>16</v>
      </c>
      <c r="F111" t="s">
        <v>17</v>
      </c>
      <c r="G111" t="s">
        <v>18</v>
      </c>
      <c r="H111" t="s">
        <v>72</v>
      </c>
      <c r="I111" t="s">
        <v>20</v>
      </c>
      <c r="J111" t="s">
        <v>21</v>
      </c>
      <c r="K111" t="s">
        <v>22</v>
      </c>
      <c r="L111" t="s">
        <v>23</v>
      </c>
      <c r="M111">
        <v>5</v>
      </c>
      <c r="N111">
        <v>1</v>
      </c>
      <c r="O111" t="s">
        <v>35</v>
      </c>
      <c r="P111" t="s">
        <v>48</v>
      </c>
      <c r="Q111" t="s">
        <v>43</v>
      </c>
      <c r="R111">
        <v>24687</v>
      </c>
      <c r="S111" t="b">
        <f t="shared" si="19"/>
        <v>0</v>
      </c>
      <c r="T111">
        <f t="shared" si="20"/>
        <v>38601.5</v>
      </c>
      <c r="U111">
        <f t="shared" si="21"/>
        <v>61707.5</v>
      </c>
      <c r="V111">
        <f t="shared" si="22"/>
        <v>23106</v>
      </c>
      <c r="W111">
        <f t="shared" si="23"/>
        <v>-30716.5</v>
      </c>
      <c r="X111">
        <f t="shared" si="24"/>
        <v>131025.5</v>
      </c>
    </row>
    <row r="112" spans="1:24" x14ac:dyDescent="0.35">
      <c r="A112" t="s">
        <v>114</v>
      </c>
      <c r="B112" t="s">
        <v>77</v>
      </c>
      <c r="C112">
        <v>1</v>
      </c>
      <c r="D112" t="s">
        <v>15</v>
      </c>
      <c r="E112" t="s">
        <v>16</v>
      </c>
      <c r="F112" t="s">
        <v>17</v>
      </c>
      <c r="G112" t="s">
        <v>18</v>
      </c>
      <c r="H112" t="s">
        <v>54</v>
      </c>
      <c r="I112" t="s">
        <v>20</v>
      </c>
      <c r="J112" t="s">
        <v>21</v>
      </c>
      <c r="K112" t="s">
        <v>41</v>
      </c>
      <c r="L112" t="s">
        <v>23</v>
      </c>
      <c r="M112">
        <v>5</v>
      </c>
      <c r="N112">
        <v>1</v>
      </c>
      <c r="O112" t="s">
        <v>24</v>
      </c>
      <c r="P112" t="s">
        <v>42</v>
      </c>
      <c r="Q112" t="s">
        <v>43</v>
      </c>
      <c r="R112">
        <v>33839</v>
      </c>
      <c r="S112" t="b">
        <f t="shared" si="19"/>
        <v>0</v>
      </c>
      <c r="T112">
        <f t="shared" si="20"/>
        <v>38601.5</v>
      </c>
      <c r="U112">
        <f t="shared" si="21"/>
        <v>61707.5</v>
      </c>
      <c r="V112">
        <f t="shared" si="22"/>
        <v>23106</v>
      </c>
      <c r="W112">
        <f t="shared" si="23"/>
        <v>-30716.5</v>
      </c>
      <c r="X112">
        <f t="shared" si="24"/>
        <v>131025.5</v>
      </c>
    </row>
    <row r="113" spans="1:24" x14ac:dyDescent="0.35">
      <c r="A113" t="s">
        <v>114</v>
      </c>
      <c r="B113" t="s">
        <v>77</v>
      </c>
      <c r="C113">
        <v>10</v>
      </c>
      <c r="D113" t="s">
        <v>15</v>
      </c>
      <c r="E113" t="s">
        <v>16</v>
      </c>
      <c r="F113" t="s">
        <v>17</v>
      </c>
      <c r="G113" t="s">
        <v>18</v>
      </c>
      <c r="H113" t="s">
        <v>54</v>
      </c>
      <c r="I113" t="s">
        <v>20</v>
      </c>
      <c r="J113" t="s">
        <v>21</v>
      </c>
      <c r="K113" t="s">
        <v>41</v>
      </c>
      <c r="L113" t="s">
        <v>23</v>
      </c>
      <c r="M113">
        <v>5</v>
      </c>
      <c r="N113">
        <v>1</v>
      </c>
      <c r="O113" t="s">
        <v>35</v>
      </c>
      <c r="P113" t="s">
        <v>48</v>
      </c>
      <c r="Q113" t="s">
        <v>43</v>
      </c>
      <c r="R113">
        <v>30724</v>
      </c>
      <c r="S113" t="b">
        <f t="shared" si="19"/>
        <v>0</v>
      </c>
      <c r="T113">
        <f t="shared" si="20"/>
        <v>38601.5</v>
      </c>
      <c r="U113">
        <f t="shared" si="21"/>
        <v>61707.5</v>
      </c>
      <c r="V113">
        <f t="shared" si="22"/>
        <v>23106</v>
      </c>
      <c r="W113">
        <f t="shared" si="23"/>
        <v>-30716.5</v>
      </c>
      <c r="X113">
        <f t="shared" si="24"/>
        <v>131025.5</v>
      </c>
    </row>
    <row r="114" spans="1:24" x14ac:dyDescent="0.35">
      <c r="A114" t="s">
        <v>115</v>
      </c>
      <c r="B114" t="s">
        <v>79</v>
      </c>
      <c r="C114">
        <v>1</v>
      </c>
      <c r="D114" t="s">
        <v>40</v>
      </c>
      <c r="E114" t="s">
        <v>64</v>
      </c>
      <c r="F114" t="s">
        <v>17</v>
      </c>
      <c r="G114" t="s">
        <v>53</v>
      </c>
      <c r="H114" t="s">
        <v>72</v>
      </c>
      <c r="I114" t="s">
        <v>20</v>
      </c>
      <c r="J114" t="s">
        <v>78</v>
      </c>
      <c r="K114" t="s">
        <v>61</v>
      </c>
      <c r="L114" t="s">
        <v>23</v>
      </c>
      <c r="M114">
        <v>5</v>
      </c>
      <c r="N114">
        <v>1</v>
      </c>
      <c r="O114" t="s">
        <v>24</v>
      </c>
      <c r="P114" t="s">
        <v>24</v>
      </c>
      <c r="Q114" t="s">
        <v>25</v>
      </c>
      <c r="R114">
        <v>42297</v>
      </c>
      <c r="S114" t="b">
        <f t="shared" si="19"/>
        <v>0</v>
      </c>
      <c r="T114">
        <f t="shared" si="20"/>
        <v>38601.5</v>
      </c>
      <c r="U114">
        <f t="shared" si="21"/>
        <v>61707.5</v>
      </c>
      <c r="V114">
        <f t="shared" si="22"/>
        <v>23106</v>
      </c>
      <c r="W114">
        <f t="shared" si="23"/>
        <v>-30716.5</v>
      </c>
      <c r="X114">
        <f t="shared" si="24"/>
        <v>131025.5</v>
      </c>
    </row>
    <row r="115" spans="1:24" x14ac:dyDescent="0.35">
      <c r="A115" t="s">
        <v>115</v>
      </c>
      <c r="B115" t="s">
        <v>79</v>
      </c>
      <c r="C115">
        <v>10</v>
      </c>
      <c r="D115" t="s">
        <v>40</v>
      </c>
      <c r="E115" t="s">
        <v>64</v>
      </c>
      <c r="F115" t="s">
        <v>17</v>
      </c>
      <c r="G115" t="s">
        <v>53</v>
      </c>
      <c r="H115" t="s">
        <v>72</v>
      </c>
      <c r="I115" t="s">
        <v>20</v>
      </c>
      <c r="J115" t="s">
        <v>78</v>
      </c>
      <c r="K115" t="s">
        <v>61</v>
      </c>
      <c r="L115" t="s">
        <v>23</v>
      </c>
      <c r="M115">
        <v>5</v>
      </c>
      <c r="N115">
        <v>1</v>
      </c>
      <c r="O115" t="s">
        <v>35</v>
      </c>
      <c r="P115" t="s">
        <v>35</v>
      </c>
      <c r="Q115" t="s">
        <v>25</v>
      </c>
      <c r="R115">
        <v>28509</v>
      </c>
      <c r="S115" t="b">
        <f t="shared" si="19"/>
        <v>0</v>
      </c>
      <c r="T115">
        <f t="shared" si="20"/>
        <v>38601.5</v>
      </c>
      <c r="U115">
        <f t="shared" si="21"/>
        <v>61707.5</v>
      </c>
      <c r="V115">
        <f t="shared" si="22"/>
        <v>23106</v>
      </c>
      <c r="W115">
        <f t="shared" si="23"/>
        <v>-30716.5</v>
      </c>
      <c r="X115">
        <f t="shared" si="24"/>
        <v>131025.5</v>
      </c>
    </row>
    <row r="116" spans="1:24" x14ac:dyDescent="0.35">
      <c r="A116" t="s">
        <v>116</v>
      </c>
      <c r="B116" t="s">
        <v>80</v>
      </c>
      <c r="C116">
        <v>1</v>
      </c>
      <c r="D116" t="s">
        <v>52</v>
      </c>
      <c r="E116" t="s">
        <v>64</v>
      </c>
      <c r="F116" t="s">
        <v>65</v>
      </c>
      <c r="G116" t="s">
        <v>18</v>
      </c>
      <c r="H116" t="s">
        <v>72</v>
      </c>
      <c r="I116" t="s">
        <v>20</v>
      </c>
      <c r="J116" t="s">
        <v>78</v>
      </c>
      <c r="K116" t="s">
        <v>22</v>
      </c>
      <c r="L116" t="s">
        <v>23</v>
      </c>
      <c r="M116">
        <v>5</v>
      </c>
      <c r="N116">
        <v>1</v>
      </c>
      <c r="O116" t="s">
        <v>24</v>
      </c>
      <c r="P116" t="s">
        <v>42</v>
      </c>
      <c r="Q116" t="s">
        <v>43</v>
      </c>
      <c r="R116">
        <v>33139</v>
      </c>
      <c r="S116" t="b">
        <f t="shared" si="19"/>
        <v>0</v>
      </c>
      <c r="T116">
        <f t="shared" si="20"/>
        <v>38601.5</v>
      </c>
      <c r="U116">
        <f t="shared" si="21"/>
        <v>61707.5</v>
      </c>
      <c r="V116">
        <f t="shared" si="22"/>
        <v>23106</v>
      </c>
      <c r="W116">
        <f t="shared" si="23"/>
        <v>-30716.5</v>
      </c>
      <c r="X116">
        <f t="shared" si="24"/>
        <v>131025.5</v>
      </c>
    </row>
    <row r="117" spans="1:24" x14ac:dyDescent="0.35">
      <c r="A117" t="s">
        <v>116</v>
      </c>
      <c r="B117" t="s">
        <v>80</v>
      </c>
      <c r="C117">
        <v>10</v>
      </c>
      <c r="D117" t="s">
        <v>52</v>
      </c>
      <c r="E117" t="s">
        <v>64</v>
      </c>
      <c r="F117" t="s">
        <v>65</v>
      </c>
      <c r="G117" t="s">
        <v>18</v>
      </c>
      <c r="H117" t="s">
        <v>72</v>
      </c>
      <c r="I117" t="s">
        <v>20</v>
      </c>
      <c r="J117" t="s">
        <v>78</v>
      </c>
      <c r="K117" t="s">
        <v>22</v>
      </c>
      <c r="L117" t="s">
        <v>23</v>
      </c>
      <c r="M117">
        <v>5</v>
      </c>
      <c r="N117">
        <v>1</v>
      </c>
      <c r="O117" t="s">
        <v>35</v>
      </c>
      <c r="P117" t="s">
        <v>48</v>
      </c>
      <c r="Q117" t="s">
        <v>43</v>
      </c>
      <c r="R117">
        <v>42089</v>
      </c>
      <c r="S117" t="b">
        <f t="shared" si="19"/>
        <v>0</v>
      </c>
      <c r="T117">
        <f t="shared" si="20"/>
        <v>38601.5</v>
      </c>
      <c r="U117">
        <f t="shared" si="21"/>
        <v>61707.5</v>
      </c>
      <c r="V117">
        <f t="shared" si="22"/>
        <v>23106</v>
      </c>
      <c r="W117">
        <f t="shared" si="23"/>
        <v>-30716.5</v>
      </c>
      <c r="X117">
        <f t="shared" si="24"/>
        <v>131025.5</v>
      </c>
    </row>
    <row r="118" spans="1:24" x14ac:dyDescent="0.35">
      <c r="A118" t="s">
        <v>117</v>
      </c>
      <c r="B118" t="s">
        <v>81</v>
      </c>
      <c r="C118">
        <v>1</v>
      </c>
      <c r="D118" t="s">
        <v>52</v>
      </c>
      <c r="E118" t="s">
        <v>64</v>
      </c>
      <c r="F118" t="s">
        <v>65</v>
      </c>
      <c r="G118" t="s">
        <v>53</v>
      </c>
      <c r="H118" t="s">
        <v>19</v>
      </c>
      <c r="I118" t="s">
        <v>55</v>
      </c>
      <c r="J118" t="s">
        <v>66</v>
      </c>
      <c r="K118" t="s">
        <v>41</v>
      </c>
      <c r="L118" t="s">
        <v>23</v>
      </c>
      <c r="M118">
        <v>5</v>
      </c>
      <c r="N118">
        <v>1</v>
      </c>
      <c r="O118" t="s">
        <v>24</v>
      </c>
      <c r="P118" t="s">
        <v>24</v>
      </c>
      <c r="Q118" t="s">
        <v>25</v>
      </c>
      <c r="R118">
        <v>92378</v>
      </c>
      <c r="S118" t="b">
        <f t="shared" si="19"/>
        <v>0</v>
      </c>
      <c r="T118">
        <f t="shared" si="20"/>
        <v>38601.5</v>
      </c>
      <c r="U118">
        <f t="shared" si="21"/>
        <v>61707.5</v>
      </c>
      <c r="V118">
        <f t="shared" si="22"/>
        <v>23106</v>
      </c>
      <c r="W118">
        <f t="shared" si="23"/>
        <v>-30716.5</v>
      </c>
      <c r="X118">
        <f t="shared" si="24"/>
        <v>131025.5</v>
      </c>
    </row>
    <row r="119" spans="1:24" x14ac:dyDescent="0.35">
      <c r="A119" t="s">
        <v>117</v>
      </c>
      <c r="B119" t="s">
        <v>81</v>
      </c>
      <c r="C119">
        <v>10</v>
      </c>
      <c r="D119" t="s">
        <v>52</v>
      </c>
      <c r="E119" t="s">
        <v>64</v>
      </c>
      <c r="F119" t="s">
        <v>65</v>
      </c>
      <c r="G119" t="s">
        <v>53</v>
      </c>
      <c r="H119" t="s">
        <v>19</v>
      </c>
      <c r="I119" t="s">
        <v>55</v>
      </c>
      <c r="J119" t="s">
        <v>66</v>
      </c>
      <c r="K119" t="s">
        <v>41</v>
      </c>
      <c r="L119" t="s">
        <v>23</v>
      </c>
      <c r="M119">
        <v>5</v>
      </c>
      <c r="N119">
        <v>1</v>
      </c>
      <c r="O119" t="s">
        <v>35</v>
      </c>
      <c r="P119" t="s">
        <v>35</v>
      </c>
      <c r="Q119" t="s">
        <v>25</v>
      </c>
      <c r="R119">
        <v>57002</v>
      </c>
      <c r="S119" t="b">
        <f t="shared" si="19"/>
        <v>0</v>
      </c>
      <c r="T119">
        <f t="shared" si="20"/>
        <v>38601.5</v>
      </c>
      <c r="U119">
        <f t="shared" si="21"/>
        <v>61707.5</v>
      </c>
      <c r="V119">
        <f t="shared" si="22"/>
        <v>23106</v>
      </c>
      <c r="W119">
        <f t="shared" si="23"/>
        <v>-30716.5</v>
      </c>
      <c r="X119">
        <f t="shared" si="24"/>
        <v>131025.5</v>
      </c>
    </row>
    <row r="120" spans="1:24" x14ac:dyDescent="0.35">
      <c r="A120" t="s">
        <v>118</v>
      </c>
      <c r="B120" t="s">
        <v>84</v>
      </c>
      <c r="C120">
        <v>1</v>
      </c>
      <c r="D120" t="s">
        <v>15</v>
      </c>
      <c r="E120" t="s">
        <v>64</v>
      </c>
      <c r="F120" t="s">
        <v>65</v>
      </c>
      <c r="G120" t="s">
        <v>53</v>
      </c>
      <c r="H120" t="s">
        <v>82</v>
      </c>
      <c r="I120" t="s">
        <v>20</v>
      </c>
      <c r="J120" t="s">
        <v>83</v>
      </c>
      <c r="K120" t="s">
        <v>61</v>
      </c>
      <c r="L120" t="s">
        <v>23</v>
      </c>
      <c r="M120">
        <v>5</v>
      </c>
      <c r="N120">
        <v>1</v>
      </c>
      <c r="O120" t="s">
        <v>24</v>
      </c>
      <c r="P120" t="s">
        <v>24</v>
      </c>
      <c r="Q120" t="s">
        <v>25</v>
      </c>
      <c r="R120">
        <v>186302</v>
      </c>
      <c r="S120" t="b">
        <f t="shared" si="19"/>
        <v>1</v>
      </c>
      <c r="T120">
        <f t="shared" si="20"/>
        <v>38601.5</v>
      </c>
      <c r="U120">
        <f t="shared" si="21"/>
        <v>61707.5</v>
      </c>
      <c r="V120">
        <f t="shared" si="22"/>
        <v>23106</v>
      </c>
      <c r="W120">
        <f t="shared" si="23"/>
        <v>-30716.5</v>
      </c>
      <c r="X120">
        <f t="shared" si="24"/>
        <v>131025.5</v>
      </c>
    </row>
    <row r="121" spans="1:24" x14ac:dyDescent="0.35">
      <c r="A121" t="s">
        <v>118</v>
      </c>
      <c r="B121" t="s">
        <v>84</v>
      </c>
      <c r="C121">
        <v>10</v>
      </c>
      <c r="D121" t="s">
        <v>15</v>
      </c>
      <c r="E121" t="s">
        <v>64</v>
      </c>
      <c r="F121" t="s">
        <v>65</v>
      </c>
      <c r="G121" t="s">
        <v>53</v>
      </c>
      <c r="H121" t="s">
        <v>82</v>
      </c>
      <c r="I121" t="s">
        <v>20</v>
      </c>
      <c r="J121" t="s">
        <v>83</v>
      </c>
      <c r="K121" t="s">
        <v>61</v>
      </c>
      <c r="L121" t="s">
        <v>23</v>
      </c>
      <c r="M121">
        <v>5</v>
      </c>
      <c r="N121">
        <v>1</v>
      </c>
      <c r="O121" t="s">
        <v>35</v>
      </c>
      <c r="P121" t="s">
        <v>35</v>
      </c>
      <c r="Q121" t="s">
        <v>25</v>
      </c>
      <c r="R121">
        <v>46750</v>
      </c>
      <c r="S121" t="b">
        <f t="shared" si="19"/>
        <v>0</v>
      </c>
      <c r="T121">
        <f t="shared" si="20"/>
        <v>38601.5</v>
      </c>
      <c r="U121">
        <f t="shared" si="21"/>
        <v>61707.5</v>
      </c>
      <c r="V121">
        <f t="shared" si="22"/>
        <v>23106</v>
      </c>
      <c r="W121">
        <f t="shared" si="23"/>
        <v>-30716.5</v>
      </c>
      <c r="X121">
        <f t="shared" si="24"/>
        <v>131025.5</v>
      </c>
    </row>
    <row r="122" spans="1:24" x14ac:dyDescent="0.35">
      <c r="A122" t="s">
        <v>119</v>
      </c>
      <c r="B122" t="s">
        <v>87</v>
      </c>
      <c r="C122">
        <v>1</v>
      </c>
      <c r="D122" t="s">
        <v>52</v>
      </c>
      <c r="E122" t="s">
        <v>64</v>
      </c>
      <c r="F122" t="s">
        <v>65</v>
      </c>
      <c r="G122" t="s">
        <v>85</v>
      </c>
      <c r="H122" t="s">
        <v>54</v>
      </c>
      <c r="I122" t="s">
        <v>55</v>
      </c>
      <c r="J122" t="s">
        <v>21</v>
      </c>
      <c r="K122" t="s">
        <v>41</v>
      </c>
      <c r="L122" t="s">
        <v>23</v>
      </c>
      <c r="M122">
        <v>5</v>
      </c>
      <c r="N122">
        <v>2</v>
      </c>
      <c r="O122" t="s">
        <v>24</v>
      </c>
      <c r="P122" t="s">
        <v>24</v>
      </c>
      <c r="Q122" t="s">
        <v>25</v>
      </c>
      <c r="R122">
        <v>82440</v>
      </c>
      <c r="S122" t="b">
        <f t="shared" si="19"/>
        <v>0</v>
      </c>
      <c r="T122">
        <f t="shared" si="20"/>
        <v>38601.5</v>
      </c>
      <c r="U122">
        <f t="shared" si="21"/>
        <v>61707.5</v>
      </c>
      <c r="V122">
        <f t="shared" si="22"/>
        <v>23106</v>
      </c>
      <c r="W122">
        <f t="shared" si="23"/>
        <v>-30716.5</v>
      </c>
      <c r="X122">
        <f t="shared" si="24"/>
        <v>131025.5</v>
      </c>
    </row>
    <row r="123" spans="1:24" x14ac:dyDescent="0.35">
      <c r="A123" t="s">
        <v>119</v>
      </c>
      <c r="B123" t="s">
        <v>87</v>
      </c>
      <c r="C123">
        <v>10</v>
      </c>
      <c r="D123" t="s">
        <v>52</v>
      </c>
      <c r="E123" t="s">
        <v>64</v>
      </c>
      <c r="F123" t="s">
        <v>65</v>
      </c>
      <c r="G123" t="s">
        <v>85</v>
      </c>
      <c r="H123" t="s">
        <v>54</v>
      </c>
      <c r="I123" t="s">
        <v>55</v>
      </c>
      <c r="J123" t="s">
        <v>21</v>
      </c>
      <c r="K123" t="s">
        <v>41</v>
      </c>
      <c r="L123" t="s">
        <v>23</v>
      </c>
      <c r="M123">
        <v>5</v>
      </c>
      <c r="N123">
        <v>1</v>
      </c>
      <c r="O123" t="s">
        <v>35</v>
      </c>
      <c r="P123" t="s">
        <v>35</v>
      </c>
      <c r="Q123" t="s">
        <v>25</v>
      </c>
      <c r="R123">
        <v>78369</v>
      </c>
      <c r="S123" t="b">
        <f t="shared" si="19"/>
        <v>0</v>
      </c>
      <c r="T123">
        <f t="shared" si="20"/>
        <v>38601.5</v>
      </c>
      <c r="U123">
        <f t="shared" si="21"/>
        <v>61707.5</v>
      </c>
      <c r="V123">
        <f t="shared" si="22"/>
        <v>23106</v>
      </c>
      <c r="W123">
        <f t="shared" si="23"/>
        <v>-30716.5</v>
      </c>
      <c r="X123">
        <f t="shared" si="24"/>
        <v>131025.5</v>
      </c>
    </row>
    <row r="124" spans="1:24" x14ac:dyDescent="0.35">
      <c r="A124" t="s">
        <v>120</v>
      </c>
      <c r="B124" t="s">
        <v>90</v>
      </c>
      <c r="C124">
        <v>1</v>
      </c>
      <c r="D124" t="s">
        <v>40</v>
      </c>
      <c r="E124" t="s">
        <v>64</v>
      </c>
      <c r="F124" t="s">
        <v>65</v>
      </c>
      <c r="G124" t="s">
        <v>18</v>
      </c>
      <c r="H124" t="s">
        <v>19</v>
      </c>
      <c r="I124" t="s">
        <v>88</v>
      </c>
      <c r="J124" t="s">
        <v>89</v>
      </c>
      <c r="K124" t="s">
        <v>41</v>
      </c>
      <c r="L124" t="s">
        <v>23</v>
      </c>
      <c r="M124">
        <v>5</v>
      </c>
      <c r="N124">
        <v>1</v>
      </c>
      <c r="O124" t="s">
        <v>24</v>
      </c>
      <c r="P124" t="s">
        <v>24</v>
      </c>
      <c r="Q124" t="s">
        <v>25</v>
      </c>
      <c r="R124">
        <v>55514</v>
      </c>
      <c r="S124" t="b">
        <f t="shared" si="19"/>
        <v>0</v>
      </c>
      <c r="T124">
        <f t="shared" si="20"/>
        <v>38601.5</v>
      </c>
      <c r="U124">
        <f t="shared" si="21"/>
        <v>61707.5</v>
      </c>
      <c r="V124">
        <f t="shared" si="22"/>
        <v>23106</v>
      </c>
      <c r="W124">
        <f t="shared" si="23"/>
        <v>-30716.5</v>
      </c>
      <c r="X124">
        <f t="shared" si="24"/>
        <v>131025.5</v>
      </c>
    </row>
    <row r="125" spans="1:24" x14ac:dyDescent="0.35">
      <c r="A125" t="s">
        <v>120</v>
      </c>
      <c r="B125" t="s">
        <v>90</v>
      </c>
      <c r="C125">
        <v>10</v>
      </c>
      <c r="D125" t="s">
        <v>40</v>
      </c>
      <c r="E125" t="s">
        <v>64</v>
      </c>
      <c r="F125" t="s">
        <v>65</v>
      </c>
      <c r="G125" t="s">
        <v>18</v>
      </c>
      <c r="H125" t="s">
        <v>19</v>
      </c>
      <c r="I125" t="s">
        <v>88</v>
      </c>
      <c r="J125" t="s">
        <v>89</v>
      </c>
      <c r="K125" t="s">
        <v>41</v>
      </c>
      <c r="L125" t="s">
        <v>23</v>
      </c>
      <c r="M125">
        <v>5</v>
      </c>
      <c r="N125">
        <v>1</v>
      </c>
      <c r="O125" t="s">
        <v>35</v>
      </c>
      <c r="P125" t="s">
        <v>35</v>
      </c>
      <c r="Q125" t="s">
        <v>25</v>
      </c>
      <c r="R125">
        <v>42006</v>
      </c>
      <c r="S125" t="b">
        <f t="shared" si="19"/>
        <v>0</v>
      </c>
      <c r="T125">
        <f t="shared" si="20"/>
        <v>38601.5</v>
      </c>
      <c r="U125">
        <f t="shared" si="21"/>
        <v>61707.5</v>
      </c>
      <c r="V125">
        <f t="shared" si="22"/>
        <v>23106</v>
      </c>
      <c r="W125">
        <f t="shared" si="23"/>
        <v>-30716.5</v>
      </c>
      <c r="X125">
        <f t="shared" si="24"/>
        <v>131025.5</v>
      </c>
    </row>
    <row r="126" spans="1:24" x14ac:dyDescent="0.35">
      <c r="A126" t="s">
        <v>121</v>
      </c>
      <c r="B126" t="s">
        <v>91</v>
      </c>
      <c r="C126">
        <v>1</v>
      </c>
      <c r="D126" t="s">
        <v>15</v>
      </c>
      <c r="E126" t="s">
        <v>64</v>
      </c>
      <c r="F126" t="s">
        <v>65</v>
      </c>
      <c r="G126" t="s">
        <v>18</v>
      </c>
      <c r="H126" t="s">
        <v>68</v>
      </c>
      <c r="I126" t="s">
        <v>20</v>
      </c>
      <c r="J126" t="s">
        <v>66</v>
      </c>
      <c r="K126" t="s">
        <v>41</v>
      </c>
      <c r="L126" t="s">
        <v>23</v>
      </c>
      <c r="M126">
        <v>5</v>
      </c>
      <c r="N126">
        <v>1</v>
      </c>
      <c r="O126" t="s">
        <v>24</v>
      </c>
      <c r="P126" t="s">
        <v>24</v>
      </c>
      <c r="Q126" t="s">
        <v>25</v>
      </c>
      <c r="R126">
        <v>63276</v>
      </c>
      <c r="S126" t="b">
        <f t="shared" si="19"/>
        <v>0</v>
      </c>
      <c r="T126">
        <f t="shared" si="20"/>
        <v>38601.5</v>
      </c>
      <c r="U126">
        <f t="shared" si="21"/>
        <v>61707.5</v>
      </c>
      <c r="V126">
        <f t="shared" si="22"/>
        <v>23106</v>
      </c>
      <c r="W126">
        <f t="shared" si="23"/>
        <v>-30716.5</v>
      </c>
      <c r="X126">
        <f t="shared" si="24"/>
        <v>131025.5</v>
      </c>
    </row>
    <row r="127" spans="1:24" x14ac:dyDescent="0.35">
      <c r="A127" t="s">
        <v>121</v>
      </c>
      <c r="B127" t="s">
        <v>91</v>
      </c>
      <c r="C127">
        <v>10</v>
      </c>
      <c r="D127" t="s">
        <v>15</v>
      </c>
      <c r="E127" t="s">
        <v>64</v>
      </c>
      <c r="F127" t="s">
        <v>65</v>
      </c>
      <c r="G127" t="s">
        <v>18</v>
      </c>
      <c r="H127" t="s">
        <v>68</v>
      </c>
      <c r="I127" t="s">
        <v>20</v>
      </c>
      <c r="J127" t="s">
        <v>66</v>
      </c>
      <c r="K127" t="s">
        <v>41</v>
      </c>
      <c r="L127" t="s">
        <v>23</v>
      </c>
      <c r="M127">
        <v>5</v>
      </c>
      <c r="N127">
        <v>1</v>
      </c>
      <c r="O127" t="s">
        <v>35</v>
      </c>
      <c r="P127" t="s">
        <v>35</v>
      </c>
      <c r="Q127" t="s">
        <v>25</v>
      </c>
      <c r="R127">
        <v>79112</v>
      </c>
      <c r="S127" t="b">
        <f t="shared" si="19"/>
        <v>0</v>
      </c>
      <c r="T127">
        <f t="shared" si="20"/>
        <v>38601.5</v>
      </c>
      <c r="U127">
        <f t="shared" si="21"/>
        <v>61707.5</v>
      </c>
      <c r="V127">
        <f t="shared" si="22"/>
        <v>23106</v>
      </c>
      <c r="W127">
        <f t="shared" si="23"/>
        <v>-30716.5</v>
      </c>
      <c r="X127">
        <f t="shared" si="24"/>
        <v>131025.5</v>
      </c>
    </row>
    <row r="128" spans="1:24" x14ac:dyDescent="0.35">
      <c r="A128" t="s">
        <v>122</v>
      </c>
      <c r="B128" t="s">
        <v>92</v>
      </c>
      <c r="C128">
        <v>1</v>
      </c>
      <c r="D128" t="s">
        <v>40</v>
      </c>
      <c r="E128" t="s">
        <v>64</v>
      </c>
      <c r="F128" t="s">
        <v>65</v>
      </c>
      <c r="G128" t="s">
        <v>18</v>
      </c>
      <c r="H128" t="s">
        <v>54</v>
      </c>
      <c r="I128" t="s">
        <v>55</v>
      </c>
      <c r="J128" t="s">
        <v>78</v>
      </c>
      <c r="K128" t="s">
        <v>41</v>
      </c>
      <c r="L128" t="s">
        <v>23</v>
      </c>
      <c r="M128">
        <v>5</v>
      </c>
      <c r="N128">
        <v>1</v>
      </c>
      <c r="O128" t="s">
        <v>24</v>
      </c>
      <c r="P128" t="s">
        <v>24</v>
      </c>
      <c r="Q128" t="s">
        <v>25</v>
      </c>
      <c r="R128">
        <v>30309</v>
      </c>
      <c r="S128" t="b">
        <f t="shared" si="19"/>
        <v>0</v>
      </c>
      <c r="T128">
        <f t="shared" si="20"/>
        <v>38601.5</v>
      </c>
      <c r="U128">
        <f t="shared" si="21"/>
        <v>61707.5</v>
      </c>
      <c r="V128">
        <f t="shared" si="22"/>
        <v>23106</v>
      </c>
      <c r="W128">
        <f t="shared" si="23"/>
        <v>-30716.5</v>
      </c>
      <c r="X128">
        <f t="shared" si="24"/>
        <v>131025.5</v>
      </c>
    </row>
    <row r="129" spans="1:24" x14ac:dyDescent="0.35">
      <c r="A129" t="s">
        <v>122</v>
      </c>
      <c r="B129" t="s">
        <v>92</v>
      </c>
      <c r="C129">
        <v>10</v>
      </c>
      <c r="D129" t="s">
        <v>40</v>
      </c>
      <c r="E129" t="s">
        <v>64</v>
      </c>
      <c r="F129" t="s">
        <v>65</v>
      </c>
      <c r="G129" t="s">
        <v>18</v>
      </c>
      <c r="H129" t="s">
        <v>54</v>
      </c>
      <c r="I129" t="s">
        <v>55</v>
      </c>
      <c r="J129" t="s">
        <v>78</v>
      </c>
      <c r="K129" t="s">
        <v>41</v>
      </c>
      <c r="L129" t="s">
        <v>23</v>
      </c>
      <c r="M129">
        <v>5</v>
      </c>
      <c r="N129">
        <v>1</v>
      </c>
      <c r="O129" t="s">
        <v>35</v>
      </c>
      <c r="P129" t="s">
        <v>35</v>
      </c>
      <c r="Q129" t="s">
        <v>25</v>
      </c>
      <c r="R129">
        <v>27311</v>
      </c>
      <c r="S129" t="b">
        <f t="shared" si="19"/>
        <v>0</v>
      </c>
      <c r="T129">
        <f t="shared" si="20"/>
        <v>38601.5</v>
      </c>
      <c r="U129">
        <f t="shared" si="21"/>
        <v>61707.5</v>
      </c>
      <c r="V129">
        <f t="shared" si="22"/>
        <v>23106</v>
      </c>
      <c r="W129">
        <f t="shared" si="23"/>
        <v>-30716.5</v>
      </c>
      <c r="X129">
        <f t="shared" si="24"/>
        <v>131025.5</v>
      </c>
    </row>
    <row r="130" spans="1:24" x14ac:dyDescent="0.35">
      <c r="A130" t="s">
        <v>123</v>
      </c>
      <c r="B130" t="s">
        <v>94</v>
      </c>
      <c r="C130">
        <v>1</v>
      </c>
      <c r="D130" t="s">
        <v>40</v>
      </c>
      <c r="E130" t="s">
        <v>16</v>
      </c>
      <c r="F130" t="s">
        <v>17</v>
      </c>
      <c r="G130" t="s">
        <v>53</v>
      </c>
      <c r="H130" t="s">
        <v>54</v>
      </c>
      <c r="I130" t="s">
        <v>20</v>
      </c>
      <c r="J130" t="s">
        <v>21</v>
      </c>
      <c r="K130" t="s">
        <v>41</v>
      </c>
      <c r="L130" t="s">
        <v>23</v>
      </c>
      <c r="M130">
        <v>5</v>
      </c>
      <c r="N130">
        <v>2</v>
      </c>
      <c r="O130" t="s">
        <v>24</v>
      </c>
      <c r="P130" t="s">
        <v>24</v>
      </c>
      <c r="Q130" t="s">
        <v>25</v>
      </c>
      <c r="R130">
        <v>89392</v>
      </c>
      <c r="S130" t="b">
        <f t="shared" si="19"/>
        <v>0</v>
      </c>
      <c r="T130">
        <f t="shared" si="20"/>
        <v>38601.5</v>
      </c>
      <c r="U130">
        <f t="shared" si="21"/>
        <v>61707.5</v>
      </c>
      <c r="V130">
        <f t="shared" si="22"/>
        <v>23106</v>
      </c>
      <c r="W130">
        <f t="shared" si="23"/>
        <v>-30716.5</v>
      </c>
      <c r="X130">
        <f t="shared" si="24"/>
        <v>131025.5</v>
      </c>
    </row>
    <row r="131" spans="1:24" x14ac:dyDescent="0.35">
      <c r="A131" t="s">
        <v>123</v>
      </c>
      <c r="B131" t="s">
        <v>94</v>
      </c>
      <c r="C131">
        <v>10</v>
      </c>
      <c r="D131" t="s">
        <v>40</v>
      </c>
      <c r="E131" t="s">
        <v>16</v>
      </c>
      <c r="F131" t="s">
        <v>17</v>
      </c>
      <c r="G131" t="s">
        <v>53</v>
      </c>
      <c r="H131" t="s">
        <v>54</v>
      </c>
      <c r="I131" t="s">
        <v>20</v>
      </c>
      <c r="J131" t="s">
        <v>21</v>
      </c>
      <c r="K131" t="s">
        <v>41</v>
      </c>
      <c r="L131" t="s">
        <v>23</v>
      </c>
      <c r="M131">
        <v>5</v>
      </c>
      <c r="N131">
        <v>1</v>
      </c>
      <c r="O131" t="s">
        <v>35</v>
      </c>
      <c r="P131" t="s">
        <v>35</v>
      </c>
      <c r="Q131" t="s">
        <v>25</v>
      </c>
      <c r="R131">
        <v>43776</v>
      </c>
      <c r="S131" t="b">
        <f t="shared" si="19"/>
        <v>0</v>
      </c>
      <c r="T131">
        <f t="shared" si="20"/>
        <v>38601.5</v>
      </c>
      <c r="U131">
        <f t="shared" si="21"/>
        <v>61707.5</v>
      </c>
      <c r="V131">
        <f t="shared" si="22"/>
        <v>23106</v>
      </c>
      <c r="W131">
        <f t="shared" si="23"/>
        <v>-30716.5</v>
      </c>
      <c r="X131">
        <f t="shared" si="24"/>
        <v>131025.5</v>
      </c>
    </row>
    <row r="132" spans="1:24" x14ac:dyDescent="0.35">
      <c r="A132" t="s">
        <v>124</v>
      </c>
      <c r="B132" t="s">
        <v>101</v>
      </c>
      <c r="C132">
        <v>1</v>
      </c>
      <c r="D132" t="s">
        <v>15</v>
      </c>
      <c r="E132" t="s">
        <v>64</v>
      </c>
      <c r="F132" t="s">
        <v>65</v>
      </c>
      <c r="G132" t="s">
        <v>53</v>
      </c>
      <c r="H132" t="s">
        <v>82</v>
      </c>
      <c r="I132" t="s">
        <v>55</v>
      </c>
      <c r="J132" t="s">
        <v>83</v>
      </c>
      <c r="K132" t="s">
        <v>22</v>
      </c>
      <c r="L132" t="s">
        <v>23</v>
      </c>
      <c r="M132">
        <v>5</v>
      </c>
      <c r="N132">
        <v>1</v>
      </c>
      <c r="O132" t="s">
        <v>24</v>
      </c>
      <c r="P132" t="s">
        <v>24</v>
      </c>
      <c r="Q132" t="s">
        <v>25</v>
      </c>
      <c r="R132">
        <v>51135</v>
      </c>
      <c r="S132" t="b">
        <f>OR(R132&lt;W132,R132&gt;X132)</f>
        <v>0</v>
      </c>
      <c r="T132">
        <f t="shared" si="20"/>
        <v>38601.5</v>
      </c>
      <c r="U132">
        <f t="shared" si="21"/>
        <v>61707.5</v>
      </c>
      <c r="V132">
        <f t="shared" si="22"/>
        <v>23106</v>
      </c>
      <c r="W132">
        <f t="shared" si="23"/>
        <v>-30716.5</v>
      </c>
      <c r="X132">
        <f t="shared" si="24"/>
        <v>131025.5</v>
      </c>
    </row>
    <row r="133" spans="1:24" x14ac:dyDescent="0.35">
      <c r="A133" t="s">
        <v>124</v>
      </c>
      <c r="B133" t="s">
        <v>101</v>
      </c>
      <c r="C133">
        <v>10</v>
      </c>
      <c r="D133" t="s">
        <v>15</v>
      </c>
      <c r="E133" t="s">
        <v>64</v>
      </c>
      <c r="F133" t="s">
        <v>65</v>
      </c>
      <c r="G133" t="s">
        <v>53</v>
      </c>
      <c r="H133" t="s">
        <v>82</v>
      </c>
      <c r="I133" t="s">
        <v>55</v>
      </c>
      <c r="J133" t="s">
        <v>83</v>
      </c>
      <c r="K133" t="s">
        <v>22</v>
      </c>
      <c r="L133" t="s">
        <v>23</v>
      </c>
      <c r="M133">
        <v>5</v>
      </c>
      <c r="N133">
        <v>1</v>
      </c>
      <c r="O133" t="s">
        <v>35</v>
      </c>
      <c r="P133" t="s">
        <v>35</v>
      </c>
      <c r="Q133" t="s">
        <v>25</v>
      </c>
      <c r="R133">
        <v>34801</v>
      </c>
      <c r="S133" t="b">
        <f t="shared" ref="S133" si="25">OR(R133&lt;W133,R133&gt;X133)</f>
        <v>0</v>
      </c>
      <c r="T133">
        <f t="shared" si="20"/>
        <v>38601.5</v>
      </c>
      <c r="U133">
        <f t="shared" si="21"/>
        <v>61707.5</v>
      </c>
      <c r="V133">
        <f t="shared" si="22"/>
        <v>23106</v>
      </c>
      <c r="W133">
        <f t="shared" si="23"/>
        <v>-30716.5</v>
      </c>
      <c r="X133">
        <f t="shared" si="24"/>
        <v>131025.5</v>
      </c>
    </row>
    <row r="134" spans="1:24" x14ac:dyDescent="0.35">
      <c r="A134" t="s">
        <v>103</v>
      </c>
      <c r="B134" t="s">
        <v>39</v>
      </c>
      <c r="C134">
        <v>7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26</v>
      </c>
      <c r="M134">
        <v>1</v>
      </c>
      <c r="N134">
        <v>1</v>
      </c>
      <c r="O134" t="s">
        <v>32</v>
      </c>
      <c r="P134" t="s">
        <v>32</v>
      </c>
      <c r="Q134" t="s">
        <v>25</v>
      </c>
      <c r="R134">
        <v>6107</v>
      </c>
      <c r="S134" t="b">
        <f>OR(R134&lt;W134,R134&gt;X134)</f>
        <v>0</v>
      </c>
      <c r="T134">
        <f>_xlfn.PERCENTILE.INC(R134:R175,0.25)</f>
        <v>4262.5</v>
      </c>
      <c r="U134">
        <f>_xlfn.PERCENTILE.INC(R134:R175,0.75)</f>
        <v>7691.25</v>
      </c>
      <c r="V134">
        <f>U134-T134</f>
        <v>3428.75</v>
      </c>
      <c r="W134">
        <f>T134-(3*V134)</f>
        <v>-6023.75</v>
      </c>
      <c r="X134">
        <f>U134+(3*V134)</f>
        <v>17977.5</v>
      </c>
    </row>
    <row r="135" spans="1:24" x14ac:dyDescent="0.35">
      <c r="A135" t="s">
        <v>103</v>
      </c>
      <c r="B135" t="s">
        <v>39</v>
      </c>
      <c r="C135">
        <v>8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22</v>
      </c>
      <c r="L135" t="s">
        <v>26</v>
      </c>
      <c r="M135">
        <v>1</v>
      </c>
      <c r="N135">
        <v>1</v>
      </c>
      <c r="O135" t="s">
        <v>33</v>
      </c>
      <c r="P135" t="s">
        <v>33</v>
      </c>
      <c r="Q135" t="s">
        <v>25</v>
      </c>
      <c r="R135">
        <v>6338</v>
      </c>
      <c r="S135" t="b">
        <f t="shared" ref="S135:S175" si="26">OR(R135&lt;W135,R135&gt;X135)</f>
        <v>0</v>
      </c>
      <c r="T135">
        <f>T134</f>
        <v>4262.5</v>
      </c>
      <c r="U135">
        <f>U134</f>
        <v>7691.25</v>
      </c>
      <c r="V135">
        <f>V134</f>
        <v>3428.75</v>
      </c>
      <c r="W135">
        <f>W134</f>
        <v>-6023.75</v>
      </c>
      <c r="X135">
        <f>X134</f>
        <v>17977.5</v>
      </c>
    </row>
    <row r="136" spans="1:24" x14ac:dyDescent="0.35">
      <c r="A136" t="s">
        <v>104</v>
      </c>
      <c r="B136" t="s">
        <v>51</v>
      </c>
      <c r="C136">
        <v>7</v>
      </c>
      <c r="D136" t="s">
        <v>40</v>
      </c>
      <c r="E136" t="s">
        <v>16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41</v>
      </c>
      <c r="L136" t="s">
        <v>26</v>
      </c>
      <c r="M136">
        <v>1</v>
      </c>
      <c r="N136">
        <v>1</v>
      </c>
      <c r="O136" t="s">
        <v>32</v>
      </c>
      <c r="P136" t="s">
        <v>32</v>
      </c>
      <c r="Q136" t="s">
        <v>25</v>
      </c>
      <c r="R136">
        <v>3502</v>
      </c>
      <c r="S136" t="b">
        <f t="shared" si="26"/>
        <v>0</v>
      </c>
      <c r="T136">
        <f t="shared" ref="T136:T177" si="27">T135</f>
        <v>4262.5</v>
      </c>
      <c r="U136">
        <f t="shared" ref="U136:U177" si="28">U135</f>
        <v>7691.25</v>
      </c>
      <c r="V136">
        <f t="shared" ref="V136:V177" si="29">V135</f>
        <v>3428.75</v>
      </c>
      <c r="W136">
        <f t="shared" ref="W136:W177" si="30">W135</f>
        <v>-6023.75</v>
      </c>
      <c r="X136">
        <f t="shared" ref="X136:X177" si="31">X135</f>
        <v>17977.5</v>
      </c>
    </row>
    <row r="137" spans="1:24" x14ac:dyDescent="0.35">
      <c r="A137" t="s">
        <v>104</v>
      </c>
      <c r="B137" t="s">
        <v>51</v>
      </c>
      <c r="C137">
        <v>8</v>
      </c>
      <c r="D137" t="s">
        <v>40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41</v>
      </c>
      <c r="L137" t="s">
        <v>26</v>
      </c>
      <c r="M137">
        <v>1</v>
      </c>
      <c r="N137">
        <v>1</v>
      </c>
      <c r="O137" t="s">
        <v>33</v>
      </c>
      <c r="P137" t="s">
        <v>33</v>
      </c>
      <c r="Q137" t="s">
        <v>25</v>
      </c>
      <c r="R137">
        <v>2786</v>
      </c>
      <c r="S137" t="b">
        <f t="shared" si="26"/>
        <v>0</v>
      </c>
      <c r="T137">
        <f t="shared" si="27"/>
        <v>4262.5</v>
      </c>
      <c r="U137">
        <f t="shared" si="28"/>
        <v>7691.25</v>
      </c>
      <c r="V137">
        <f t="shared" si="29"/>
        <v>3428.75</v>
      </c>
      <c r="W137">
        <f t="shared" si="30"/>
        <v>-6023.75</v>
      </c>
      <c r="X137">
        <f t="shared" si="31"/>
        <v>17977.5</v>
      </c>
    </row>
    <row r="138" spans="1:24" x14ac:dyDescent="0.35">
      <c r="A138" t="s">
        <v>105</v>
      </c>
      <c r="B138" t="s">
        <v>58</v>
      </c>
      <c r="C138">
        <v>7</v>
      </c>
      <c r="D138" t="s">
        <v>52</v>
      </c>
      <c r="E138" t="s">
        <v>16</v>
      </c>
      <c r="F138" t="s">
        <v>17</v>
      </c>
      <c r="G138" t="s">
        <v>53</v>
      </c>
      <c r="H138" t="s">
        <v>54</v>
      </c>
      <c r="I138" t="s">
        <v>55</v>
      </c>
      <c r="J138" t="s">
        <v>56</v>
      </c>
      <c r="K138" t="s">
        <v>22</v>
      </c>
      <c r="L138" t="s">
        <v>26</v>
      </c>
      <c r="M138">
        <v>1</v>
      </c>
      <c r="N138">
        <v>1</v>
      </c>
      <c r="O138" t="s">
        <v>32</v>
      </c>
      <c r="P138" t="s">
        <v>32</v>
      </c>
      <c r="Q138" t="s">
        <v>25</v>
      </c>
      <c r="R138">
        <v>6931</v>
      </c>
      <c r="S138" t="b">
        <f t="shared" si="26"/>
        <v>0</v>
      </c>
      <c r="T138">
        <f t="shared" si="27"/>
        <v>4262.5</v>
      </c>
      <c r="U138">
        <f t="shared" si="28"/>
        <v>7691.25</v>
      </c>
      <c r="V138">
        <f t="shared" si="29"/>
        <v>3428.75</v>
      </c>
      <c r="W138">
        <f t="shared" si="30"/>
        <v>-6023.75</v>
      </c>
      <c r="X138">
        <f t="shared" si="31"/>
        <v>17977.5</v>
      </c>
    </row>
    <row r="139" spans="1:24" x14ac:dyDescent="0.35">
      <c r="A139" t="s">
        <v>105</v>
      </c>
      <c r="B139" t="s">
        <v>58</v>
      </c>
      <c r="C139">
        <v>8</v>
      </c>
      <c r="D139" t="s">
        <v>52</v>
      </c>
      <c r="E139" t="s">
        <v>16</v>
      </c>
      <c r="F139" t="s">
        <v>17</v>
      </c>
      <c r="G139" t="s">
        <v>53</v>
      </c>
      <c r="H139" t="s">
        <v>54</v>
      </c>
      <c r="I139" t="s">
        <v>55</v>
      </c>
      <c r="J139" t="s">
        <v>56</v>
      </c>
      <c r="K139" t="s">
        <v>22</v>
      </c>
      <c r="L139" t="s">
        <v>26</v>
      </c>
      <c r="M139">
        <v>1</v>
      </c>
      <c r="N139">
        <v>1</v>
      </c>
      <c r="O139" t="s">
        <v>33</v>
      </c>
      <c r="P139" t="s">
        <v>33</v>
      </c>
      <c r="Q139" t="s">
        <v>25</v>
      </c>
      <c r="R139">
        <v>7118</v>
      </c>
      <c r="S139" t="b">
        <f t="shared" si="26"/>
        <v>0</v>
      </c>
      <c r="T139">
        <f t="shared" si="27"/>
        <v>4262.5</v>
      </c>
      <c r="U139">
        <f t="shared" si="28"/>
        <v>7691.25</v>
      </c>
      <c r="V139">
        <f t="shared" si="29"/>
        <v>3428.75</v>
      </c>
      <c r="W139">
        <f t="shared" si="30"/>
        <v>-6023.75</v>
      </c>
      <c r="X139">
        <f t="shared" si="31"/>
        <v>17977.5</v>
      </c>
    </row>
    <row r="140" spans="1:24" x14ac:dyDescent="0.35">
      <c r="A140" t="s">
        <v>106</v>
      </c>
      <c r="B140" t="s">
        <v>60</v>
      </c>
      <c r="C140">
        <v>7</v>
      </c>
      <c r="D140" t="s">
        <v>59</v>
      </c>
      <c r="E140" t="s">
        <v>16</v>
      </c>
      <c r="F140" t="s">
        <v>17</v>
      </c>
      <c r="G140" t="s">
        <v>18</v>
      </c>
      <c r="H140" t="s">
        <v>54</v>
      </c>
      <c r="I140" t="s">
        <v>55</v>
      </c>
      <c r="J140" t="s">
        <v>21</v>
      </c>
      <c r="K140" t="s">
        <v>22</v>
      </c>
      <c r="L140" t="s">
        <v>26</v>
      </c>
      <c r="M140">
        <v>1</v>
      </c>
      <c r="N140">
        <v>1</v>
      </c>
      <c r="O140" t="s">
        <v>32</v>
      </c>
      <c r="P140" t="s">
        <v>32</v>
      </c>
      <c r="Q140" t="s">
        <v>25</v>
      </c>
      <c r="R140">
        <v>7259</v>
      </c>
      <c r="S140" t="b">
        <f t="shared" si="26"/>
        <v>0</v>
      </c>
      <c r="T140">
        <f t="shared" si="27"/>
        <v>4262.5</v>
      </c>
      <c r="U140">
        <f t="shared" si="28"/>
        <v>7691.25</v>
      </c>
      <c r="V140">
        <f t="shared" si="29"/>
        <v>3428.75</v>
      </c>
      <c r="W140">
        <f t="shared" si="30"/>
        <v>-6023.75</v>
      </c>
      <c r="X140">
        <f t="shared" si="31"/>
        <v>17977.5</v>
      </c>
    </row>
    <row r="141" spans="1:24" x14ac:dyDescent="0.35">
      <c r="A141" t="s">
        <v>106</v>
      </c>
      <c r="B141" t="s">
        <v>60</v>
      </c>
      <c r="C141">
        <v>8</v>
      </c>
      <c r="D141" t="s">
        <v>59</v>
      </c>
      <c r="E141" t="s">
        <v>16</v>
      </c>
      <c r="F141" t="s">
        <v>17</v>
      </c>
      <c r="G141" t="s">
        <v>18</v>
      </c>
      <c r="H141" t="s">
        <v>54</v>
      </c>
      <c r="I141" t="s">
        <v>55</v>
      </c>
      <c r="J141" t="s">
        <v>21</v>
      </c>
      <c r="K141" t="s">
        <v>22</v>
      </c>
      <c r="L141" t="s">
        <v>26</v>
      </c>
      <c r="M141">
        <v>1</v>
      </c>
      <c r="N141">
        <v>1</v>
      </c>
      <c r="O141" t="s">
        <v>33</v>
      </c>
      <c r="P141" t="s">
        <v>33</v>
      </c>
      <c r="Q141" t="s">
        <v>25</v>
      </c>
      <c r="R141">
        <v>9624</v>
      </c>
      <c r="S141" t="b">
        <f t="shared" si="26"/>
        <v>0</v>
      </c>
      <c r="T141">
        <f t="shared" si="27"/>
        <v>4262.5</v>
      </c>
      <c r="U141">
        <f t="shared" si="28"/>
        <v>7691.25</v>
      </c>
      <c r="V141">
        <f t="shared" si="29"/>
        <v>3428.75</v>
      </c>
      <c r="W141">
        <f t="shared" si="30"/>
        <v>-6023.75</v>
      </c>
      <c r="X141">
        <f t="shared" si="31"/>
        <v>17977.5</v>
      </c>
    </row>
    <row r="142" spans="1:24" x14ac:dyDescent="0.35">
      <c r="A142" t="s">
        <v>107</v>
      </c>
      <c r="B142" t="s">
        <v>62</v>
      </c>
      <c r="C142">
        <v>7</v>
      </c>
      <c r="D142" t="s">
        <v>15</v>
      </c>
      <c r="E142" t="s">
        <v>16</v>
      </c>
      <c r="F142" t="s">
        <v>17</v>
      </c>
      <c r="G142" t="s">
        <v>53</v>
      </c>
      <c r="H142" t="s">
        <v>72</v>
      </c>
      <c r="I142" t="s">
        <v>20</v>
      </c>
      <c r="J142" t="s">
        <v>21</v>
      </c>
      <c r="K142" t="s">
        <v>41</v>
      </c>
      <c r="L142" t="s">
        <v>26</v>
      </c>
      <c r="M142">
        <v>1</v>
      </c>
      <c r="N142">
        <v>1</v>
      </c>
      <c r="O142" t="s">
        <v>32</v>
      </c>
      <c r="P142" t="s">
        <v>32</v>
      </c>
      <c r="Q142" t="s">
        <v>25</v>
      </c>
      <c r="R142">
        <v>7466</v>
      </c>
      <c r="S142" t="b">
        <f t="shared" si="26"/>
        <v>0</v>
      </c>
      <c r="T142">
        <f t="shared" si="27"/>
        <v>4262.5</v>
      </c>
      <c r="U142">
        <f t="shared" si="28"/>
        <v>7691.25</v>
      </c>
      <c r="V142">
        <f t="shared" si="29"/>
        <v>3428.75</v>
      </c>
      <c r="W142">
        <f t="shared" si="30"/>
        <v>-6023.75</v>
      </c>
      <c r="X142">
        <f t="shared" si="31"/>
        <v>17977.5</v>
      </c>
    </row>
    <row r="143" spans="1:24" x14ac:dyDescent="0.35">
      <c r="A143" t="s">
        <v>107</v>
      </c>
      <c r="B143" t="s">
        <v>62</v>
      </c>
      <c r="C143">
        <v>8</v>
      </c>
      <c r="D143" t="s">
        <v>15</v>
      </c>
      <c r="E143" t="s">
        <v>16</v>
      </c>
      <c r="F143" t="s">
        <v>17</v>
      </c>
      <c r="G143" t="s">
        <v>53</v>
      </c>
      <c r="H143" t="s">
        <v>72</v>
      </c>
      <c r="I143" t="s">
        <v>20</v>
      </c>
      <c r="J143" t="s">
        <v>21</v>
      </c>
      <c r="K143" t="s">
        <v>41</v>
      </c>
      <c r="L143" t="s">
        <v>26</v>
      </c>
      <c r="M143">
        <v>1</v>
      </c>
      <c r="N143">
        <v>1</v>
      </c>
      <c r="O143" t="s">
        <v>33</v>
      </c>
      <c r="P143" t="s">
        <v>33</v>
      </c>
      <c r="Q143" t="s">
        <v>25</v>
      </c>
      <c r="R143">
        <v>7812</v>
      </c>
      <c r="S143" t="b">
        <f t="shared" si="26"/>
        <v>0</v>
      </c>
      <c r="T143">
        <f t="shared" si="27"/>
        <v>4262.5</v>
      </c>
      <c r="U143">
        <f t="shared" si="28"/>
        <v>7691.25</v>
      </c>
      <c r="V143">
        <f t="shared" si="29"/>
        <v>3428.75</v>
      </c>
      <c r="W143">
        <f t="shared" si="30"/>
        <v>-6023.75</v>
      </c>
      <c r="X143">
        <f t="shared" si="31"/>
        <v>17977.5</v>
      </c>
    </row>
    <row r="144" spans="1:24" x14ac:dyDescent="0.35">
      <c r="A144" t="s">
        <v>108</v>
      </c>
      <c r="B144" t="s">
        <v>63</v>
      </c>
      <c r="C144">
        <v>7</v>
      </c>
      <c r="D144" t="s">
        <v>52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56</v>
      </c>
      <c r="K144" t="s">
        <v>61</v>
      </c>
      <c r="L144" t="s">
        <v>26</v>
      </c>
      <c r="M144">
        <v>1</v>
      </c>
      <c r="N144">
        <v>1</v>
      </c>
      <c r="O144" t="s">
        <v>32</v>
      </c>
      <c r="P144" t="s">
        <v>32</v>
      </c>
      <c r="Q144" t="s">
        <v>25</v>
      </c>
      <c r="R144">
        <v>7545</v>
      </c>
      <c r="S144" t="b">
        <f t="shared" si="26"/>
        <v>0</v>
      </c>
      <c r="T144">
        <f t="shared" si="27"/>
        <v>4262.5</v>
      </c>
      <c r="U144">
        <f t="shared" si="28"/>
        <v>7691.25</v>
      </c>
      <c r="V144">
        <f t="shared" si="29"/>
        <v>3428.75</v>
      </c>
      <c r="W144">
        <f t="shared" si="30"/>
        <v>-6023.75</v>
      </c>
      <c r="X144">
        <f t="shared" si="31"/>
        <v>17977.5</v>
      </c>
    </row>
    <row r="145" spans="1:24" x14ac:dyDescent="0.35">
      <c r="A145" t="s">
        <v>108</v>
      </c>
      <c r="B145" t="s">
        <v>63</v>
      </c>
      <c r="C145">
        <v>8</v>
      </c>
      <c r="D145" t="s">
        <v>52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56</v>
      </c>
      <c r="K145" t="s">
        <v>61</v>
      </c>
      <c r="L145" t="s">
        <v>26</v>
      </c>
      <c r="M145">
        <v>1</v>
      </c>
      <c r="N145">
        <v>1</v>
      </c>
      <c r="O145" t="s">
        <v>33</v>
      </c>
      <c r="P145" t="s">
        <v>33</v>
      </c>
      <c r="Q145" t="s">
        <v>25</v>
      </c>
      <c r="R145">
        <v>3907</v>
      </c>
      <c r="S145" t="b">
        <f t="shared" si="26"/>
        <v>0</v>
      </c>
      <c r="T145">
        <f t="shared" si="27"/>
        <v>4262.5</v>
      </c>
      <c r="U145">
        <f t="shared" si="28"/>
        <v>7691.25</v>
      </c>
      <c r="V145">
        <f t="shared" si="29"/>
        <v>3428.75</v>
      </c>
      <c r="W145">
        <f t="shared" si="30"/>
        <v>-6023.75</v>
      </c>
      <c r="X145">
        <f t="shared" si="31"/>
        <v>17977.5</v>
      </c>
    </row>
    <row r="146" spans="1:24" x14ac:dyDescent="0.35">
      <c r="A146" t="s">
        <v>109</v>
      </c>
      <c r="B146" t="s">
        <v>71</v>
      </c>
      <c r="C146">
        <v>7</v>
      </c>
      <c r="D146" t="s">
        <v>15</v>
      </c>
      <c r="E146" t="s">
        <v>16</v>
      </c>
      <c r="F146" t="s">
        <v>17</v>
      </c>
      <c r="G146" t="s">
        <v>53</v>
      </c>
      <c r="H146" t="s">
        <v>54</v>
      </c>
      <c r="I146" t="s">
        <v>20</v>
      </c>
      <c r="J146" t="s">
        <v>21</v>
      </c>
      <c r="K146" t="s">
        <v>41</v>
      </c>
      <c r="L146" t="s">
        <v>26</v>
      </c>
      <c r="M146">
        <v>1</v>
      </c>
      <c r="N146">
        <v>1</v>
      </c>
      <c r="O146" t="s">
        <v>32</v>
      </c>
      <c r="P146" t="s">
        <v>32</v>
      </c>
      <c r="Q146" t="s">
        <v>25</v>
      </c>
      <c r="R146">
        <v>4372</v>
      </c>
      <c r="S146" t="b">
        <f t="shared" si="26"/>
        <v>0</v>
      </c>
      <c r="T146">
        <f t="shared" si="27"/>
        <v>4262.5</v>
      </c>
      <c r="U146">
        <f t="shared" si="28"/>
        <v>7691.25</v>
      </c>
      <c r="V146">
        <f t="shared" si="29"/>
        <v>3428.75</v>
      </c>
      <c r="W146">
        <f t="shared" si="30"/>
        <v>-6023.75</v>
      </c>
      <c r="X146">
        <f t="shared" si="31"/>
        <v>17977.5</v>
      </c>
    </row>
    <row r="147" spans="1:24" x14ac:dyDescent="0.35">
      <c r="A147" t="s">
        <v>109</v>
      </c>
      <c r="B147" t="s">
        <v>71</v>
      </c>
      <c r="C147">
        <v>8</v>
      </c>
      <c r="D147" t="s">
        <v>15</v>
      </c>
      <c r="E147" t="s">
        <v>16</v>
      </c>
      <c r="F147" t="s">
        <v>17</v>
      </c>
      <c r="G147" t="s">
        <v>53</v>
      </c>
      <c r="H147" t="s">
        <v>54</v>
      </c>
      <c r="I147" t="s">
        <v>20</v>
      </c>
      <c r="J147" t="s">
        <v>21</v>
      </c>
      <c r="K147" t="s">
        <v>41</v>
      </c>
      <c r="L147" t="s">
        <v>26</v>
      </c>
      <c r="M147">
        <v>1</v>
      </c>
      <c r="N147">
        <v>1</v>
      </c>
      <c r="O147" t="s">
        <v>33</v>
      </c>
      <c r="P147" t="s">
        <v>33</v>
      </c>
      <c r="Q147" t="s">
        <v>25</v>
      </c>
      <c r="R147">
        <v>4226</v>
      </c>
      <c r="S147" t="b">
        <f t="shared" si="26"/>
        <v>0</v>
      </c>
      <c r="T147">
        <f t="shared" si="27"/>
        <v>4262.5</v>
      </c>
      <c r="U147">
        <f t="shared" si="28"/>
        <v>7691.25</v>
      </c>
      <c r="V147">
        <f t="shared" si="29"/>
        <v>3428.75</v>
      </c>
      <c r="W147">
        <f t="shared" si="30"/>
        <v>-6023.75</v>
      </c>
      <c r="X147">
        <f t="shared" si="31"/>
        <v>17977.5</v>
      </c>
    </row>
    <row r="148" spans="1:24" x14ac:dyDescent="0.35">
      <c r="A148" t="s">
        <v>110</v>
      </c>
      <c r="B148" t="s">
        <v>69</v>
      </c>
      <c r="C148">
        <v>7</v>
      </c>
      <c r="D148" t="s">
        <v>40</v>
      </c>
      <c r="E148" t="s">
        <v>64</v>
      </c>
      <c r="F148" t="s">
        <v>65</v>
      </c>
      <c r="G148" t="s">
        <v>53</v>
      </c>
      <c r="H148" t="s">
        <v>54</v>
      </c>
      <c r="I148" t="s">
        <v>20</v>
      </c>
      <c r="J148" t="s">
        <v>66</v>
      </c>
      <c r="K148" t="s">
        <v>41</v>
      </c>
      <c r="L148" t="s">
        <v>26</v>
      </c>
      <c r="M148">
        <v>1</v>
      </c>
      <c r="N148">
        <v>1</v>
      </c>
      <c r="O148" t="s">
        <v>32</v>
      </c>
      <c r="P148" t="s">
        <v>32</v>
      </c>
      <c r="Q148" t="s">
        <v>25</v>
      </c>
      <c r="R148">
        <v>8416</v>
      </c>
      <c r="S148" t="b">
        <f t="shared" si="26"/>
        <v>0</v>
      </c>
      <c r="T148">
        <f t="shared" si="27"/>
        <v>4262.5</v>
      </c>
      <c r="U148">
        <f t="shared" si="28"/>
        <v>7691.25</v>
      </c>
      <c r="V148">
        <f t="shared" si="29"/>
        <v>3428.75</v>
      </c>
      <c r="W148">
        <f t="shared" si="30"/>
        <v>-6023.75</v>
      </c>
      <c r="X148">
        <f t="shared" si="31"/>
        <v>17977.5</v>
      </c>
    </row>
    <row r="149" spans="1:24" x14ac:dyDescent="0.35">
      <c r="A149" t="s">
        <v>110</v>
      </c>
      <c r="B149" t="s">
        <v>69</v>
      </c>
      <c r="C149">
        <v>8</v>
      </c>
      <c r="D149" t="s">
        <v>40</v>
      </c>
      <c r="E149" t="s">
        <v>64</v>
      </c>
      <c r="F149" t="s">
        <v>65</v>
      </c>
      <c r="G149" t="s">
        <v>53</v>
      </c>
      <c r="H149" t="s">
        <v>54</v>
      </c>
      <c r="I149" t="s">
        <v>20</v>
      </c>
      <c r="J149" t="s">
        <v>66</v>
      </c>
      <c r="K149" t="s">
        <v>41</v>
      </c>
      <c r="L149" t="s">
        <v>26</v>
      </c>
      <c r="M149">
        <v>1</v>
      </c>
      <c r="N149">
        <v>1</v>
      </c>
      <c r="O149" t="s">
        <v>33</v>
      </c>
      <c r="P149" t="s">
        <v>33</v>
      </c>
      <c r="Q149" t="s">
        <v>25</v>
      </c>
      <c r="R149">
        <v>6631</v>
      </c>
      <c r="S149" t="b">
        <f t="shared" si="26"/>
        <v>0</v>
      </c>
      <c r="T149">
        <f t="shared" si="27"/>
        <v>4262.5</v>
      </c>
      <c r="U149">
        <f t="shared" si="28"/>
        <v>7691.25</v>
      </c>
      <c r="V149">
        <f t="shared" si="29"/>
        <v>3428.75</v>
      </c>
      <c r="W149">
        <f t="shared" si="30"/>
        <v>-6023.75</v>
      </c>
      <c r="X149">
        <f t="shared" si="31"/>
        <v>17977.5</v>
      </c>
    </row>
    <row r="150" spans="1:24" x14ac:dyDescent="0.35">
      <c r="A150" t="s">
        <v>111</v>
      </c>
      <c r="B150" t="s">
        <v>70</v>
      </c>
      <c r="C150">
        <v>7</v>
      </c>
      <c r="D150" t="s">
        <v>52</v>
      </c>
      <c r="E150" t="s">
        <v>64</v>
      </c>
      <c r="F150" t="s">
        <v>65</v>
      </c>
      <c r="G150" t="s">
        <v>53</v>
      </c>
      <c r="H150" t="s">
        <v>68</v>
      </c>
      <c r="I150" t="s">
        <v>20</v>
      </c>
      <c r="J150" t="s">
        <v>21</v>
      </c>
      <c r="K150" t="s">
        <v>41</v>
      </c>
      <c r="L150" t="s">
        <v>26</v>
      </c>
      <c r="M150">
        <v>1</v>
      </c>
      <c r="N150">
        <v>1</v>
      </c>
      <c r="O150" t="s">
        <v>32</v>
      </c>
      <c r="P150" t="s">
        <v>32</v>
      </c>
      <c r="Q150" t="s">
        <v>25</v>
      </c>
      <c r="R150">
        <v>7740</v>
      </c>
      <c r="S150" t="b">
        <f t="shared" si="26"/>
        <v>0</v>
      </c>
      <c r="T150">
        <f t="shared" si="27"/>
        <v>4262.5</v>
      </c>
      <c r="U150">
        <f t="shared" si="28"/>
        <v>7691.25</v>
      </c>
      <c r="V150">
        <f t="shared" si="29"/>
        <v>3428.75</v>
      </c>
      <c r="W150">
        <f t="shared" si="30"/>
        <v>-6023.75</v>
      </c>
      <c r="X150">
        <f t="shared" si="31"/>
        <v>17977.5</v>
      </c>
    </row>
    <row r="151" spans="1:24" x14ac:dyDescent="0.35">
      <c r="A151" t="s">
        <v>111</v>
      </c>
      <c r="B151" t="s">
        <v>70</v>
      </c>
      <c r="C151">
        <v>8</v>
      </c>
      <c r="D151" t="s">
        <v>52</v>
      </c>
      <c r="E151" t="s">
        <v>64</v>
      </c>
      <c r="F151" t="s">
        <v>65</v>
      </c>
      <c r="G151" t="s">
        <v>53</v>
      </c>
      <c r="H151" t="s">
        <v>68</v>
      </c>
      <c r="I151" t="s">
        <v>20</v>
      </c>
      <c r="J151" t="s">
        <v>21</v>
      </c>
      <c r="K151" t="s">
        <v>41</v>
      </c>
      <c r="L151" t="s">
        <v>26</v>
      </c>
      <c r="M151">
        <v>1</v>
      </c>
      <c r="N151">
        <v>1</v>
      </c>
      <c r="O151" t="s">
        <v>33</v>
      </c>
      <c r="P151" t="s">
        <v>33</v>
      </c>
      <c r="Q151" t="s">
        <v>25</v>
      </c>
      <c r="R151">
        <v>8888</v>
      </c>
      <c r="S151" t="b">
        <f t="shared" si="26"/>
        <v>0</v>
      </c>
      <c r="T151">
        <f t="shared" si="27"/>
        <v>4262.5</v>
      </c>
      <c r="U151">
        <f t="shared" si="28"/>
        <v>7691.25</v>
      </c>
      <c r="V151">
        <f t="shared" si="29"/>
        <v>3428.75</v>
      </c>
      <c r="W151">
        <f t="shared" si="30"/>
        <v>-6023.75</v>
      </c>
      <c r="X151">
        <f t="shared" si="31"/>
        <v>17977.5</v>
      </c>
    </row>
    <row r="152" spans="1:24" x14ac:dyDescent="0.35">
      <c r="A152" t="s">
        <v>112</v>
      </c>
      <c r="B152" t="s">
        <v>74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54</v>
      </c>
      <c r="I152" t="s">
        <v>20</v>
      </c>
      <c r="J152" t="s">
        <v>21</v>
      </c>
      <c r="K152" t="s">
        <v>41</v>
      </c>
      <c r="L152" t="s">
        <v>26</v>
      </c>
      <c r="M152">
        <v>1</v>
      </c>
      <c r="N152">
        <v>1</v>
      </c>
      <c r="O152" t="s">
        <v>32</v>
      </c>
      <c r="P152" t="s">
        <v>32</v>
      </c>
      <c r="Q152" t="s">
        <v>25</v>
      </c>
      <c r="R152">
        <v>5088</v>
      </c>
      <c r="S152" t="b">
        <f t="shared" si="26"/>
        <v>0</v>
      </c>
      <c r="T152">
        <f t="shared" si="27"/>
        <v>4262.5</v>
      </c>
      <c r="U152">
        <f t="shared" si="28"/>
        <v>7691.25</v>
      </c>
      <c r="V152">
        <f t="shared" si="29"/>
        <v>3428.75</v>
      </c>
      <c r="W152">
        <f t="shared" si="30"/>
        <v>-6023.75</v>
      </c>
      <c r="X152">
        <f t="shared" si="31"/>
        <v>17977.5</v>
      </c>
    </row>
    <row r="153" spans="1:24" x14ac:dyDescent="0.35">
      <c r="A153" t="s">
        <v>112</v>
      </c>
      <c r="B153" t="s">
        <v>74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54</v>
      </c>
      <c r="I153" t="s">
        <v>20</v>
      </c>
      <c r="J153" t="s">
        <v>21</v>
      </c>
      <c r="K153" t="s">
        <v>41</v>
      </c>
      <c r="L153" t="s">
        <v>26</v>
      </c>
      <c r="M153">
        <v>1</v>
      </c>
      <c r="N153">
        <v>1</v>
      </c>
      <c r="O153" t="s">
        <v>33</v>
      </c>
      <c r="P153" t="s">
        <v>33</v>
      </c>
      <c r="Q153" t="s">
        <v>25</v>
      </c>
      <c r="R153">
        <v>7943</v>
      </c>
      <c r="S153" t="b">
        <f t="shared" si="26"/>
        <v>0</v>
      </c>
      <c r="T153">
        <f t="shared" si="27"/>
        <v>4262.5</v>
      </c>
      <c r="U153">
        <f t="shared" si="28"/>
        <v>7691.25</v>
      </c>
      <c r="V153">
        <f t="shared" si="29"/>
        <v>3428.75</v>
      </c>
      <c r="W153">
        <f t="shared" si="30"/>
        <v>-6023.75</v>
      </c>
      <c r="X153">
        <f t="shared" si="31"/>
        <v>17977.5</v>
      </c>
    </row>
    <row r="154" spans="1:24" x14ac:dyDescent="0.35">
      <c r="A154" t="s">
        <v>113</v>
      </c>
      <c r="B154" t="s">
        <v>76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72</v>
      </c>
      <c r="I154" t="s">
        <v>20</v>
      </c>
      <c r="J154" t="s">
        <v>21</v>
      </c>
      <c r="K154" t="s">
        <v>22</v>
      </c>
      <c r="L154" t="s">
        <v>26</v>
      </c>
      <c r="M154">
        <v>1</v>
      </c>
      <c r="N154">
        <v>1</v>
      </c>
      <c r="O154" t="s">
        <v>32</v>
      </c>
      <c r="P154" t="s">
        <v>32</v>
      </c>
      <c r="Q154" t="s">
        <v>25</v>
      </c>
      <c r="R154">
        <v>5073</v>
      </c>
      <c r="S154" t="b">
        <f t="shared" si="26"/>
        <v>0</v>
      </c>
      <c r="T154">
        <f t="shared" si="27"/>
        <v>4262.5</v>
      </c>
      <c r="U154">
        <f t="shared" si="28"/>
        <v>7691.25</v>
      </c>
      <c r="V154">
        <f t="shared" si="29"/>
        <v>3428.75</v>
      </c>
      <c r="W154">
        <f t="shared" si="30"/>
        <v>-6023.75</v>
      </c>
      <c r="X154">
        <f t="shared" si="31"/>
        <v>17977.5</v>
      </c>
    </row>
    <row r="155" spans="1:24" x14ac:dyDescent="0.35">
      <c r="A155" t="s">
        <v>113</v>
      </c>
      <c r="B155" t="s">
        <v>76</v>
      </c>
      <c r="C155">
        <v>8</v>
      </c>
      <c r="D155" t="s">
        <v>15</v>
      </c>
      <c r="E155" t="s">
        <v>16</v>
      </c>
      <c r="F155" t="s">
        <v>17</v>
      </c>
      <c r="G155" t="s">
        <v>18</v>
      </c>
      <c r="H155" t="s">
        <v>72</v>
      </c>
      <c r="I155" t="s">
        <v>20</v>
      </c>
      <c r="J155" t="s">
        <v>21</v>
      </c>
      <c r="K155" t="s">
        <v>22</v>
      </c>
      <c r="L155" t="s">
        <v>26</v>
      </c>
      <c r="M155">
        <v>1</v>
      </c>
      <c r="N155">
        <v>1</v>
      </c>
      <c r="O155" t="s">
        <v>33</v>
      </c>
      <c r="P155" t="s">
        <v>33</v>
      </c>
      <c r="Q155" t="s">
        <v>25</v>
      </c>
      <c r="R155">
        <v>4084</v>
      </c>
      <c r="S155" t="b">
        <f t="shared" si="26"/>
        <v>0</v>
      </c>
      <c r="T155">
        <f t="shared" si="27"/>
        <v>4262.5</v>
      </c>
      <c r="U155">
        <f t="shared" si="28"/>
        <v>7691.25</v>
      </c>
      <c r="V155">
        <f t="shared" si="29"/>
        <v>3428.75</v>
      </c>
      <c r="W155">
        <f t="shared" si="30"/>
        <v>-6023.75</v>
      </c>
      <c r="X155">
        <f t="shared" si="31"/>
        <v>17977.5</v>
      </c>
    </row>
    <row r="156" spans="1:24" x14ac:dyDescent="0.35">
      <c r="A156" t="s">
        <v>114</v>
      </c>
      <c r="B156" t="s">
        <v>77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54</v>
      </c>
      <c r="I156" t="s">
        <v>20</v>
      </c>
      <c r="J156" t="s">
        <v>21</v>
      </c>
      <c r="K156" t="s">
        <v>41</v>
      </c>
      <c r="L156" t="s">
        <v>26</v>
      </c>
      <c r="M156">
        <v>1</v>
      </c>
      <c r="N156">
        <v>1</v>
      </c>
      <c r="O156" t="s">
        <v>32</v>
      </c>
      <c r="P156" t="s">
        <v>32</v>
      </c>
      <c r="Q156" t="s">
        <v>25</v>
      </c>
      <c r="R156">
        <v>3897</v>
      </c>
      <c r="S156" t="b">
        <f t="shared" si="26"/>
        <v>0</v>
      </c>
      <c r="T156">
        <f t="shared" si="27"/>
        <v>4262.5</v>
      </c>
      <c r="U156">
        <f t="shared" si="28"/>
        <v>7691.25</v>
      </c>
      <c r="V156">
        <f t="shared" si="29"/>
        <v>3428.75</v>
      </c>
      <c r="W156">
        <f t="shared" si="30"/>
        <v>-6023.75</v>
      </c>
      <c r="X156">
        <f t="shared" si="31"/>
        <v>17977.5</v>
      </c>
    </row>
    <row r="157" spans="1:24" x14ac:dyDescent="0.35">
      <c r="A157" t="s">
        <v>114</v>
      </c>
      <c r="B157" t="s">
        <v>77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54</v>
      </c>
      <c r="I157" t="s">
        <v>20</v>
      </c>
      <c r="J157" t="s">
        <v>21</v>
      </c>
      <c r="K157" t="s">
        <v>41</v>
      </c>
      <c r="L157" t="s">
        <v>26</v>
      </c>
      <c r="M157">
        <v>1</v>
      </c>
      <c r="N157">
        <v>1</v>
      </c>
      <c r="O157" t="s">
        <v>33</v>
      </c>
      <c r="P157" t="s">
        <v>33</v>
      </c>
      <c r="Q157" t="s">
        <v>25</v>
      </c>
      <c r="R157">
        <v>3648</v>
      </c>
      <c r="S157" t="b">
        <f t="shared" si="26"/>
        <v>0</v>
      </c>
      <c r="T157">
        <f t="shared" si="27"/>
        <v>4262.5</v>
      </c>
      <c r="U157">
        <f t="shared" si="28"/>
        <v>7691.25</v>
      </c>
      <c r="V157">
        <f t="shared" si="29"/>
        <v>3428.75</v>
      </c>
      <c r="W157">
        <f t="shared" si="30"/>
        <v>-6023.75</v>
      </c>
      <c r="X157">
        <f t="shared" si="31"/>
        <v>17977.5</v>
      </c>
    </row>
    <row r="158" spans="1:24" x14ac:dyDescent="0.35">
      <c r="A158" t="s">
        <v>115</v>
      </c>
      <c r="B158" t="s">
        <v>79</v>
      </c>
      <c r="C158">
        <v>7</v>
      </c>
      <c r="D158" t="s">
        <v>40</v>
      </c>
      <c r="E158" t="s">
        <v>64</v>
      </c>
      <c r="F158" t="s">
        <v>17</v>
      </c>
      <c r="G158" t="s">
        <v>53</v>
      </c>
      <c r="H158" t="s">
        <v>72</v>
      </c>
      <c r="I158" t="s">
        <v>20</v>
      </c>
      <c r="J158" t="s">
        <v>78</v>
      </c>
      <c r="K158" t="s">
        <v>61</v>
      </c>
      <c r="L158" t="s">
        <v>26</v>
      </c>
      <c r="M158">
        <v>1</v>
      </c>
      <c r="N158">
        <v>1</v>
      </c>
      <c r="O158" t="s">
        <v>32</v>
      </c>
      <c r="P158" t="s">
        <v>32</v>
      </c>
      <c r="Q158" t="s">
        <v>25</v>
      </c>
      <c r="R158">
        <v>4677</v>
      </c>
      <c r="S158" t="b">
        <f t="shared" si="26"/>
        <v>0</v>
      </c>
      <c r="T158">
        <f t="shared" si="27"/>
        <v>4262.5</v>
      </c>
      <c r="U158">
        <f t="shared" si="28"/>
        <v>7691.25</v>
      </c>
      <c r="V158">
        <f t="shared" si="29"/>
        <v>3428.75</v>
      </c>
      <c r="W158">
        <f t="shared" si="30"/>
        <v>-6023.75</v>
      </c>
      <c r="X158">
        <f t="shared" si="31"/>
        <v>17977.5</v>
      </c>
    </row>
    <row r="159" spans="1:24" x14ac:dyDescent="0.35">
      <c r="A159" t="s">
        <v>115</v>
      </c>
      <c r="B159" t="s">
        <v>79</v>
      </c>
      <c r="C159">
        <v>8</v>
      </c>
      <c r="D159" t="s">
        <v>40</v>
      </c>
      <c r="E159" t="s">
        <v>64</v>
      </c>
      <c r="F159" t="s">
        <v>17</v>
      </c>
      <c r="G159" t="s">
        <v>53</v>
      </c>
      <c r="H159" t="s">
        <v>72</v>
      </c>
      <c r="I159" t="s">
        <v>20</v>
      </c>
      <c r="J159" t="s">
        <v>78</v>
      </c>
      <c r="K159" t="s">
        <v>61</v>
      </c>
      <c r="L159" t="s">
        <v>26</v>
      </c>
      <c r="M159">
        <v>1</v>
      </c>
      <c r="N159">
        <v>1</v>
      </c>
      <c r="O159" t="s">
        <v>33</v>
      </c>
      <c r="P159" t="s">
        <v>33</v>
      </c>
      <c r="Q159" t="s">
        <v>25</v>
      </c>
      <c r="R159">
        <v>4648</v>
      </c>
      <c r="S159" t="b">
        <f t="shared" si="26"/>
        <v>0</v>
      </c>
      <c r="T159">
        <f t="shared" si="27"/>
        <v>4262.5</v>
      </c>
      <c r="U159">
        <f t="shared" si="28"/>
        <v>7691.25</v>
      </c>
      <c r="V159">
        <f t="shared" si="29"/>
        <v>3428.75</v>
      </c>
      <c r="W159">
        <f t="shared" si="30"/>
        <v>-6023.75</v>
      </c>
      <c r="X159">
        <f t="shared" si="31"/>
        <v>17977.5</v>
      </c>
    </row>
    <row r="160" spans="1:24" x14ac:dyDescent="0.35">
      <c r="A160" t="s">
        <v>116</v>
      </c>
      <c r="B160" t="s">
        <v>80</v>
      </c>
      <c r="C160">
        <v>7</v>
      </c>
      <c r="D160" t="s">
        <v>52</v>
      </c>
      <c r="E160" t="s">
        <v>64</v>
      </c>
      <c r="F160" t="s">
        <v>65</v>
      </c>
      <c r="G160" t="s">
        <v>18</v>
      </c>
      <c r="H160" t="s">
        <v>72</v>
      </c>
      <c r="I160" t="s">
        <v>20</v>
      </c>
      <c r="J160" t="s">
        <v>78</v>
      </c>
      <c r="K160" t="s">
        <v>22</v>
      </c>
      <c r="L160" t="s">
        <v>26</v>
      </c>
      <c r="M160">
        <v>1</v>
      </c>
      <c r="N160">
        <v>1</v>
      </c>
      <c r="O160" t="s">
        <v>32</v>
      </c>
      <c r="P160" t="s">
        <v>32</v>
      </c>
      <c r="Q160" t="s">
        <v>25</v>
      </c>
      <c r="R160">
        <v>3842</v>
      </c>
      <c r="S160" t="b">
        <f t="shared" si="26"/>
        <v>0</v>
      </c>
      <c r="T160">
        <f t="shared" si="27"/>
        <v>4262.5</v>
      </c>
      <c r="U160">
        <f t="shared" si="28"/>
        <v>7691.25</v>
      </c>
      <c r="V160">
        <f t="shared" si="29"/>
        <v>3428.75</v>
      </c>
      <c r="W160">
        <f t="shared" si="30"/>
        <v>-6023.75</v>
      </c>
      <c r="X160">
        <f t="shared" si="31"/>
        <v>17977.5</v>
      </c>
    </row>
    <row r="161" spans="1:24" x14ac:dyDescent="0.35">
      <c r="A161" t="s">
        <v>116</v>
      </c>
      <c r="B161" t="s">
        <v>80</v>
      </c>
      <c r="C161">
        <v>8</v>
      </c>
      <c r="D161" t="s">
        <v>52</v>
      </c>
      <c r="E161" t="s">
        <v>64</v>
      </c>
      <c r="F161" t="s">
        <v>65</v>
      </c>
      <c r="G161" t="s">
        <v>18</v>
      </c>
      <c r="H161" t="s">
        <v>72</v>
      </c>
      <c r="I161" t="s">
        <v>20</v>
      </c>
      <c r="J161" t="s">
        <v>78</v>
      </c>
      <c r="K161" t="s">
        <v>22</v>
      </c>
      <c r="L161" t="s">
        <v>26</v>
      </c>
      <c r="M161">
        <v>1</v>
      </c>
      <c r="N161">
        <v>1</v>
      </c>
      <c r="O161" t="s">
        <v>33</v>
      </c>
      <c r="P161" t="s">
        <v>33</v>
      </c>
      <c r="Q161" t="s">
        <v>25</v>
      </c>
      <c r="R161">
        <v>3602</v>
      </c>
      <c r="S161" t="b">
        <f t="shared" si="26"/>
        <v>0</v>
      </c>
      <c r="T161">
        <f t="shared" si="27"/>
        <v>4262.5</v>
      </c>
      <c r="U161">
        <f t="shared" si="28"/>
        <v>7691.25</v>
      </c>
      <c r="V161">
        <f t="shared" si="29"/>
        <v>3428.75</v>
      </c>
      <c r="W161">
        <f t="shared" si="30"/>
        <v>-6023.75</v>
      </c>
      <c r="X161">
        <f t="shared" si="31"/>
        <v>17977.5</v>
      </c>
    </row>
    <row r="162" spans="1:24" x14ac:dyDescent="0.35">
      <c r="A162" t="s">
        <v>117</v>
      </c>
      <c r="B162" t="s">
        <v>81</v>
      </c>
      <c r="C162">
        <v>7</v>
      </c>
      <c r="D162" t="s">
        <v>52</v>
      </c>
      <c r="E162" t="s">
        <v>64</v>
      </c>
      <c r="F162" t="s">
        <v>65</v>
      </c>
      <c r="G162" t="s">
        <v>53</v>
      </c>
      <c r="H162" t="s">
        <v>19</v>
      </c>
      <c r="I162" t="s">
        <v>55</v>
      </c>
      <c r="J162" t="s">
        <v>66</v>
      </c>
      <c r="K162" t="s">
        <v>41</v>
      </c>
      <c r="L162" t="s">
        <v>26</v>
      </c>
      <c r="M162">
        <v>1</v>
      </c>
      <c r="N162">
        <v>1</v>
      </c>
      <c r="O162" t="s">
        <v>32</v>
      </c>
      <c r="P162" t="s">
        <v>32</v>
      </c>
      <c r="Q162" t="s">
        <v>25</v>
      </c>
      <c r="R162">
        <v>17432</v>
      </c>
      <c r="S162" t="b">
        <f t="shared" si="26"/>
        <v>0</v>
      </c>
      <c r="T162">
        <f t="shared" si="27"/>
        <v>4262.5</v>
      </c>
      <c r="U162">
        <f t="shared" si="28"/>
        <v>7691.25</v>
      </c>
      <c r="V162">
        <f t="shared" si="29"/>
        <v>3428.75</v>
      </c>
      <c r="W162">
        <f t="shared" si="30"/>
        <v>-6023.75</v>
      </c>
      <c r="X162">
        <f t="shared" si="31"/>
        <v>17977.5</v>
      </c>
    </row>
    <row r="163" spans="1:24" x14ac:dyDescent="0.35">
      <c r="A163" t="s">
        <v>117</v>
      </c>
      <c r="B163" t="s">
        <v>81</v>
      </c>
      <c r="C163">
        <v>8</v>
      </c>
      <c r="D163" t="s">
        <v>52</v>
      </c>
      <c r="E163" t="s">
        <v>64</v>
      </c>
      <c r="F163" t="s">
        <v>65</v>
      </c>
      <c r="G163" t="s">
        <v>53</v>
      </c>
      <c r="H163" t="s">
        <v>19</v>
      </c>
      <c r="I163" t="s">
        <v>55</v>
      </c>
      <c r="J163" t="s">
        <v>66</v>
      </c>
      <c r="K163" t="s">
        <v>41</v>
      </c>
      <c r="L163" t="s">
        <v>26</v>
      </c>
      <c r="M163">
        <v>1</v>
      </c>
      <c r="N163">
        <v>1</v>
      </c>
      <c r="O163" t="s">
        <v>33</v>
      </c>
      <c r="P163" t="s">
        <v>33</v>
      </c>
      <c r="Q163" t="s">
        <v>25</v>
      </c>
      <c r="R163">
        <v>9906</v>
      </c>
      <c r="S163" t="b">
        <f t="shared" si="26"/>
        <v>0</v>
      </c>
      <c r="T163">
        <f t="shared" si="27"/>
        <v>4262.5</v>
      </c>
      <c r="U163">
        <f t="shared" si="28"/>
        <v>7691.25</v>
      </c>
      <c r="V163">
        <f t="shared" si="29"/>
        <v>3428.75</v>
      </c>
      <c r="W163">
        <f t="shared" si="30"/>
        <v>-6023.75</v>
      </c>
      <c r="X163">
        <f t="shared" si="31"/>
        <v>17977.5</v>
      </c>
    </row>
    <row r="164" spans="1:24" x14ac:dyDescent="0.35">
      <c r="A164" t="s">
        <v>118</v>
      </c>
      <c r="B164" t="s">
        <v>84</v>
      </c>
      <c r="C164">
        <v>7</v>
      </c>
      <c r="D164" t="s">
        <v>15</v>
      </c>
      <c r="E164" t="s">
        <v>64</v>
      </c>
      <c r="F164" t="s">
        <v>65</v>
      </c>
      <c r="G164" t="s">
        <v>53</v>
      </c>
      <c r="H164" t="s">
        <v>82</v>
      </c>
      <c r="I164" t="s">
        <v>20</v>
      </c>
      <c r="J164" t="s">
        <v>83</v>
      </c>
      <c r="K164" t="s">
        <v>61</v>
      </c>
      <c r="L164" t="s">
        <v>26</v>
      </c>
      <c r="M164">
        <v>1</v>
      </c>
      <c r="N164">
        <v>1</v>
      </c>
      <c r="O164" t="s">
        <v>32</v>
      </c>
      <c r="P164" t="s">
        <v>32</v>
      </c>
      <c r="Q164" t="s">
        <v>25</v>
      </c>
      <c r="R164">
        <v>7210</v>
      </c>
      <c r="S164" t="b">
        <f t="shared" si="26"/>
        <v>0</v>
      </c>
      <c r="T164">
        <f t="shared" si="27"/>
        <v>4262.5</v>
      </c>
      <c r="U164">
        <f t="shared" si="28"/>
        <v>7691.25</v>
      </c>
      <c r="V164">
        <f t="shared" si="29"/>
        <v>3428.75</v>
      </c>
      <c r="W164">
        <f t="shared" si="30"/>
        <v>-6023.75</v>
      </c>
      <c r="X164">
        <f t="shared" si="31"/>
        <v>17977.5</v>
      </c>
    </row>
    <row r="165" spans="1:24" x14ac:dyDescent="0.35">
      <c r="A165" t="s">
        <v>118</v>
      </c>
      <c r="B165" t="s">
        <v>84</v>
      </c>
      <c r="C165">
        <v>8</v>
      </c>
      <c r="D165" t="s">
        <v>15</v>
      </c>
      <c r="E165" t="s">
        <v>64</v>
      </c>
      <c r="F165" t="s">
        <v>65</v>
      </c>
      <c r="G165" t="s">
        <v>53</v>
      </c>
      <c r="H165" t="s">
        <v>82</v>
      </c>
      <c r="I165" t="s">
        <v>20</v>
      </c>
      <c r="J165" t="s">
        <v>83</v>
      </c>
      <c r="K165" t="s">
        <v>61</v>
      </c>
      <c r="L165" t="s">
        <v>26</v>
      </c>
      <c r="M165">
        <v>1</v>
      </c>
      <c r="N165">
        <v>1</v>
      </c>
      <c r="O165" t="s">
        <v>33</v>
      </c>
      <c r="P165" t="s">
        <v>33</v>
      </c>
      <c r="Q165" t="s">
        <v>25</v>
      </c>
      <c r="R165">
        <v>5780</v>
      </c>
      <c r="S165" t="b">
        <f t="shared" si="26"/>
        <v>0</v>
      </c>
      <c r="T165">
        <f t="shared" si="27"/>
        <v>4262.5</v>
      </c>
      <c r="U165">
        <f t="shared" si="28"/>
        <v>7691.25</v>
      </c>
      <c r="V165">
        <f t="shared" si="29"/>
        <v>3428.75</v>
      </c>
      <c r="W165">
        <f t="shared" si="30"/>
        <v>-6023.75</v>
      </c>
      <c r="X165">
        <f t="shared" si="31"/>
        <v>17977.5</v>
      </c>
    </row>
    <row r="166" spans="1:24" x14ac:dyDescent="0.35">
      <c r="A166" t="s">
        <v>119</v>
      </c>
      <c r="B166" t="s">
        <v>87</v>
      </c>
      <c r="C166">
        <v>7</v>
      </c>
      <c r="D166" t="s">
        <v>52</v>
      </c>
      <c r="E166" t="s">
        <v>64</v>
      </c>
      <c r="F166" t="s">
        <v>65</v>
      </c>
      <c r="G166" t="s">
        <v>85</v>
      </c>
      <c r="H166" t="s">
        <v>54</v>
      </c>
      <c r="I166" t="s">
        <v>55</v>
      </c>
      <c r="J166" t="s">
        <v>21</v>
      </c>
      <c r="K166" t="s">
        <v>41</v>
      </c>
      <c r="L166" t="s">
        <v>26</v>
      </c>
      <c r="M166">
        <v>1</v>
      </c>
      <c r="N166">
        <v>1</v>
      </c>
      <c r="O166" t="s">
        <v>32</v>
      </c>
      <c r="P166" t="s">
        <v>32</v>
      </c>
      <c r="Q166" t="s">
        <v>25</v>
      </c>
      <c r="R166">
        <v>24190</v>
      </c>
      <c r="S166" t="b">
        <f t="shared" si="26"/>
        <v>1</v>
      </c>
      <c r="T166">
        <f t="shared" si="27"/>
        <v>4262.5</v>
      </c>
      <c r="U166">
        <f t="shared" si="28"/>
        <v>7691.25</v>
      </c>
      <c r="V166">
        <f t="shared" si="29"/>
        <v>3428.75</v>
      </c>
      <c r="W166">
        <f t="shared" si="30"/>
        <v>-6023.75</v>
      </c>
      <c r="X166">
        <f t="shared" si="31"/>
        <v>17977.5</v>
      </c>
    </row>
    <row r="167" spans="1:24" x14ac:dyDescent="0.35">
      <c r="A167" t="s">
        <v>119</v>
      </c>
      <c r="B167" t="s">
        <v>87</v>
      </c>
      <c r="C167">
        <v>8</v>
      </c>
      <c r="D167" t="s">
        <v>52</v>
      </c>
      <c r="E167" t="s">
        <v>64</v>
      </c>
      <c r="F167" t="s">
        <v>65</v>
      </c>
      <c r="G167" t="s">
        <v>85</v>
      </c>
      <c r="H167" t="s">
        <v>54</v>
      </c>
      <c r="I167" t="s">
        <v>55</v>
      </c>
      <c r="J167" t="s">
        <v>21</v>
      </c>
      <c r="K167" t="s">
        <v>41</v>
      </c>
      <c r="L167" t="s">
        <v>26</v>
      </c>
      <c r="M167">
        <v>1</v>
      </c>
      <c r="N167">
        <v>1</v>
      </c>
      <c r="O167" t="s">
        <v>33</v>
      </c>
      <c r="P167" t="s">
        <v>33</v>
      </c>
      <c r="Q167" t="s">
        <v>25</v>
      </c>
      <c r="R167">
        <v>13294</v>
      </c>
      <c r="S167" t="b">
        <f t="shared" si="26"/>
        <v>0</v>
      </c>
      <c r="T167">
        <f t="shared" si="27"/>
        <v>4262.5</v>
      </c>
      <c r="U167">
        <f t="shared" si="28"/>
        <v>7691.25</v>
      </c>
      <c r="V167">
        <f t="shared" si="29"/>
        <v>3428.75</v>
      </c>
      <c r="W167">
        <f t="shared" si="30"/>
        <v>-6023.75</v>
      </c>
      <c r="X167">
        <f t="shared" si="31"/>
        <v>17977.5</v>
      </c>
    </row>
    <row r="168" spans="1:24" x14ac:dyDescent="0.35">
      <c r="A168" t="s">
        <v>120</v>
      </c>
      <c r="B168" t="s">
        <v>90</v>
      </c>
      <c r="C168">
        <v>7</v>
      </c>
      <c r="D168" t="s">
        <v>40</v>
      </c>
      <c r="E168" t="s">
        <v>64</v>
      </c>
      <c r="F168" t="s">
        <v>65</v>
      </c>
      <c r="G168" t="s">
        <v>18</v>
      </c>
      <c r="H168" t="s">
        <v>19</v>
      </c>
      <c r="I168" t="s">
        <v>88</v>
      </c>
      <c r="J168" t="s">
        <v>89</v>
      </c>
      <c r="K168" t="s">
        <v>41</v>
      </c>
      <c r="L168" t="s">
        <v>26</v>
      </c>
      <c r="M168">
        <v>1</v>
      </c>
      <c r="N168">
        <v>1</v>
      </c>
      <c r="O168" t="s">
        <v>32</v>
      </c>
      <c r="P168" t="s">
        <v>32</v>
      </c>
      <c r="Q168" t="s">
        <v>25</v>
      </c>
      <c r="R168">
        <v>5412</v>
      </c>
      <c r="S168" t="b">
        <f t="shared" si="26"/>
        <v>0</v>
      </c>
      <c r="T168">
        <f t="shared" si="27"/>
        <v>4262.5</v>
      </c>
      <c r="U168">
        <f t="shared" si="28"/>
        <v>7691.25</v>
      </c>
      <c r="V168">
        <f t="shared" si="29"/>
        <v>3428.75</v>
      </c>
      <c r="W168">
        <f t="shared" si="30"/>
        <v>-6023.75</v>
      </c>
      <c r="X168">
        <f t="shared" si="31"/>
        <v>17977.5</v>
      </c>
    </row>
    <row r="169" spans="1:24" x14ac:dyDescent="0.35">
      <c r="A169" t="s">
        <v>120</v>
      </c>
      <c r="B169" t="s">
        <v>90</v>
      </c>
      <c r="C169">
        <v>8</v>
      </c>
      <c r="D169" t="s">
        <v>40</v>
      </c>
      <c r="E169" t="s">
        <v>64</v>
      </c>
      <c r="F169" t="s">
        <v>65</v>
      </c>
      <c r="G169" t="s">
        <v>18</v>
      </c>
      <c r="H169" t="s">
        <v>19</v>
      </c>
      <c r="I169" t="s">
        <v>88</v>
      </c>
      <c r="J169" t="s">
        <v>89</v>
      </c>
      <c r="K169" t="s">
        <v>41</v>
      </c>
      <c r="L169" t="s">
        <v>26</v>
      </c>
      <c r="M169">
        <v>1</v>
      </c>
      <c r="N169">
        <v>1</v>
      </c>
      <c r="O169" t="s">
        <v>33</v>
      </c>
      <c r="P169" t="s">
        <v>33</v>
      </c>
      <c r="Q169" t="s">
        <v>25</v>
      </c>
      <c r="R169">
        <v>6198</v>
      </c>
      <c r="S169" t="b">
        <f t="shared" si="26"/>
        <v>0</v>
      </c>
      <c r="T169">
        <f t="shared" si="27"/>
        <v>4262.5</v>
      </c>
      <c r="U169">
        <f t="shared" si="28"/>
        <v>7691.25</v>
      </c>
      <c r="V169">
        <f t="shared" si="29"/>
        <v>3428.75</v>
      </c>
      <c r="W169">
        <f t="shared" si="30"/>
        <v>-6023.75</v>
      </c>
      <c r="X169">
        <f t="shared" si="31"/>
        <v>17977.5</v>
      </c>
    </row>
    <row r="170" spans="1:24" x14ac:dyDescent="0.35">
      <c r="A170" t="s">
        <v>121</v>
      </c>
      <c r="B170" t="s">
        <v>91</v>
      </c>
      <c r="C170">
        <v>7</v>
      </c>
      <c r="D170" t="s">
        <v>15</v>
      </c>
      <c r="E170" t="s">
        <v>64</v>
      </c>
      <c r="F170" t="s">
        <v>65</v>
      </c>
      <c r="G170" t="s">
        <v>18</v>
      </c>
      <c r="H170" t="s">
        <v>68</v>
      </c>
      <c r="I170" t="s">
        <v>20</v>
      </c>
      <c r="J170" t="s">
        <v>66</v>
      </c>
      <c r="K170" t="s">
        <v>41</v>
      </c>
      <c r="L170" t="s">
        <v>26</v>
      </c>
      <c r="M170">
        <v>1</v>
      </c>
      <c r="N170">
        <v>1</v>
      </c>
      <c r="O170" t="s">
        <v>32</v>
      </c>
      <c r="P170" t="s">
        <v>32</v>
      </c>
      <c r="Q170" t="s">
        <v>25</v>
      </c>
      <c r="R170">
        <v>5844</v>
      </c>
      <c r="S170" t="b">
        <f t="shared" si="26"/>
        <v>0</v>
      </c>
      <c r="T170">
        <f t="shared" si="27"/>
        <v>4262.5</v>
      </c>
      <c r="U170">
        <f t="shared" si="28"/>
        <v>7691.25</v>
      </c>
      <c r="V170">
        <f t="shared" si="29"/>
        <v>3428.75</v>
      </c>
      <c r="W170">
        <f t="shared" si="30"/>
        <v>-6023.75</v>
      </c>
      <c r="X170">
        <f t="shared" si="31"/>
        <v>17977.5</v>
      </c>
    </row>
    <row r="171" spans="1:24" x14ac:dyDescent="0.35">
      <c r="A171" t="s">
        <v>121</v>
      </c>
      <c r="B171" t="s">
        <v>91</v>
      </c>
      <c r="C171">
        <v>8</v>
      </c>
      <c r="D171" t="s">
        <v>15</v>
      </c>
      <c r="E171" t="s">
        <v>64</v>
      </c>
      <c r="F171" t="s">
        <v>65</v>
      </c>
      <c r="G171" t="s">
        <v>18</v>
      </c>
      <c r="H171" t="s">
        <v>68</v>
      </c>
      <c r="I171" t="s">
        <v>20</v>
      </c>
      <c r="J171" t="s">
        <v>66</v>
      </c>
      <c r="K171" t="s">
        <v>41</v>
      </c>
      <c r="L171" t="s">
        <v>26</v>
      </c>
      <c r="M171">
        <v>1</v>
      </c>
      <c r="N171">
        <v>1</v>
      </c>
      <c r="O171" t="s">
        <v>33</v>
      </c>
      <c r="P171" t="s">
        <v>33</v>
      </c>
      <c r="Q171" t="s">
        <v>25</v>
      </c>
      <c r="R171">
        <v>4084</v>
      </c>
      <c r="S171" t="b">
        <f t="shared" si="26"/>
        <v>0</v>
      </c>
      <c r="T171">
        <f t="shared" si="27"/>
        <v>4262.5</v>
      </c>
      <c r="U171">
        <f t="shared" si="28"/>
        <v>7691.25</v>
      </c>
      <c r="V171">
        <f t="shared" si="29"/>
        <v>3428.75</v>
      </c>
      <c r="W171">
        <f t="shared" si="30"/>
        <v>-6023.75</v>
      </c>
      <c r="X171">
        <f t="shared" si="31"/>
        <v>17977.5</v>
      </c>
    </row>
    <row r="172" spans="1:24" x14ac:dyDescent="0.35">
      <c r="A172" t="s">
        <v>122</v>
      </c>
      <c r="B172" t="s">
        <v>92</v>
      </c>
      <c r="C172">
        <v>7</v>
      </c>
      <c r="D172" t="s">
        <v>40</v>
      </c>
      <c r="E172" t="s">
        <v>64</v>
      </c>
      <c r="F172" t="s">
        <v>65</v>
      </c>
      <c r="G172" t="s">
        <v>18</v>
      </c>
      <c r="H172" t="s">
        <v>54</v>
      </c>
      <c r="I172" t="s">
        <v>55</v>
      </c>
      <c r="J172" t="s">
        <v>78</v>
      </c>
      <c r="K172" t="s">
        <v>41</v>
      </c>
      <c r="L172" t="s">
        <v>26</v>
      </c>
      <c r="M172">
        <v>1</v>
      </c>
      <c r="N172">
        <v>1</v>
      </c>
      <c r="O172" t="s">
        <v>32</v>
      </c>
      <c r="P172" t="s">
        <v>32</v>
      </c>
      <c r="Q172" t="s">
        <v>25</v>
      </c>
      <c r="R172">
        <v>3915</v>
      </c>
      <c r="S172" t="b">
        <f t="shared" si="26"/>
        <v>0</v>
      </c>
      <c r="T172">
        <f t="shared" si="27"/>
        <v>4262.5</v>
      </c>
      <c r="U172">
        <f t="shared" si="28"/>
        <v>7691.25</v>
      </c>
      <c r="V172">
        <f t="shared" si="29"/>
        <v>3428.75</v>
      </c>
      <c r="W172">
        <f t="shared" si="30"/>
        <v>-6023.75</v>
      </c>
      <c r="X172">
        <f t="shared" si="31"/>
        <v>17977.5</v>
      </c>
    </row>
    <row r="173" spans="1:24" x14ac:dyDescent="0.35">
      <c r="A173" t="s">
        <v>122</v>
      </c>
      <c r="B173" t="s">
        <v>92</v>
      </c>
      <c r="C173">
        <v>8</v>
      </c>
      <c r="D173" t="s">
        <v>40</v>
      </c>
      <c r="E173" t="s">
        <v>64</v>
      </c>
      <c r="F173" t="s">
        <v>65</v>
      </c>
      <c r="G173" t="s">
        <v>18</v>
      </c>
      <c r="H173" t="s">
        <v>54</v>
      </c>
      <c r="I173" t="s">
        <v>55</v>
      </c>
      <c r="J173" t="s">
        <v>78</v>
      </c>
      <c r="K173" t="s">
        <v>41</v>
      </c>
      <c r="L173" t="s">
        <v>26</v>
      </c>
      <c r="M173">
        <v>1</v>
      </c>
      <c r="N173">
        <v>1</v>
      </c>
      <c r="O173" t="s">
        <v>33</v>
      </c>
      <c r="P173" t="s">
        <v>33</v>
      </c>
      <c r="Q173" t="s">
        <v>25</v>
      </c>
      <c r="R173">
        <v>5323</v>
      </c>
      <c r="S173" t="b">
        <f t="shared" si="26"/>
        <v>0</v>
      </c>
      <c r="T173">
        <f t="shared" si="27"/>
        <v>4262.5</v>
      </c>
      <c r="U173">
        <f t="shared" si="28"/>
        <v>7691.25</v>
      </c>
      <c r="V173">
        <f t="shared" si="29"/>
        <v>3428.75</v>
      </c>
      <c r="W173">
        <f t="shared" si="30"/>
        <v>-6023.75</v>
      </c>
      <c r="X173">
        <f t="shared" si="31"/>
        <v>17977.5</v>
      </c>
    </row>
    <row r="174" spans="1:24" x14ac:dyDescent="0.35">
      <c r="A174" t="s">
        <v>123</v>
      </c>
      <c r="B174" t="s">
        <v>94</v>
      </c>
      <c r="C174">
        <v>7</v>
      </c>
      <c r="D174" t="s">
        <v>40</v>
      </c>
      <c r="E174" t="s">
        <v>16</v>
      </c>
      <c r="F174" t="s">
        <v>17</v>
      </c>
      <c r="G174" t="s">
        <v>53</v>
      </c>
      <c r="H174" t="s">
        <v>54</v>
      </c>
      <c r="I174" t="s">
        <v>20</v>
      </c>
      <c r="J174" t="s">
        <v>21</v>
      </c>
      <c r="K174" t="s">
        <v>41</v>
      </c>
      <c r="L174" t="s">
        <v>26</v>
      </c>
      <c r="M174">
        <v>1</v>
      </c>
      <c r="N174">
        <v>1</v>
      </c>
      <c r="O174" t="s">
        <v>32</v>
      </c>
      <c r="P174" t="s">
        <v>32</v>
      </c>
      <c r="Q174" t="s">
        <v>25</v>
      </c>
      <c r="R174">
        <v>6328</v>
      </c>
      <c r="S174" t="b">
        <f t="shared" si="26"/>
        <v>0</v>
      </c>
      <c r="T174">
        <f t="shared" si="27"/>
        <v>4262.5</v>
      </c>
      <c r="U174">
        <f t="shared" si="28"/>
        <v>7691.25</v>
      </c>
      <c r="V174">
        <f t="shared" si="29"/>
        <v>3428.75</v>
      </c>
      <c r="W174">
        <f t="shared" si="30"/>
        <v>-6023.75</v>
      </c>
      <c r="X174">
        <f t="shared" si="31"/>
        <v>17977.5</v>
      </c>
    </row>
    <row r="175" spans="1:24" x14ac:dyDescent="0.35">
      <c r="A175" t="s">
        <v>123</v>
      </c>
      <c r="B175" t="s">
        <v>94</v>
      </c>
      <c r="C175">
        <v>8</v>
      </c>
      <c r="D175" t="s">
        <v>40</v>
      </c>
      <c r="E175" t="s">
        <v>16</v>
      </c>
      <c r="F175" t="s">
        <v>17</v>
      </c>
      <c r="G175" t="s">
        <v>53</v>
      </c>
      <c r="H175" t="s">
        <v>54</v>
      </c>
      <c r="I175" t="s">
        <v>20</v>
      </c>
      <c r="J175" t="s">
        <v>21</v>
      </c>
      <c r="K175" t="s">
        <v>41</v>
      </c>
      <c r="L175" t="s">
        <v>26</v>
      </c>
      <c r="M175">
        <v>1</v>
      </c>
      <c r="N175">
        <v>1</v>
      </c>
      <c r="O175" t="s">
        <v>33</v>
      </c>
      <c r="P175" t="s">
        <v>33</v>
      </c>
      <c r="Q175" t="s">
        <v>25</v>
      </c>
      <c r="R175">
        <v>9168</v>
      </c>
      <c r="S175" t="b">
        <f t="shared" si="26"/>
        <v>0</v>
      </c>
      <c r="T175">
        <f t="shared" si="27"/>
        <v>4262.5</v>
      </c>
      <c r="U175">
        <f t="shared" si="28"/>
        <v>7691.25</v>
      </c>
      <c r="V175">
        <f t="shared" si="29"/>
        <v>3428.75</v>
      </c>
      <c r="W175">
        <f t="shared" si="30"/>
        <v>-6023.75</v>
      </c>
      <c r="X175">
        <f t="shared" si="31"/>
        <v>17977.5</v>
      </c>
    </row>
    <row r="176" spans="1:24" x14ac:dyDescent="0.35">
      <c r="A176" t="s">
        <v>124</v>
      </c>
      <c r="B176" t="s">
        <v>101</v>
      </c>
      <c r="C176">
        <v>7</v>
      </c>
      <c r="D176" t="s">
        <v>15</v>
      </c>
      <c r="E176" t="s">
        <v>64</v>
      </c>
      <c r="F176" t="s">
        <v>65</v>
      </c>
      <c r="G176" t="s">
        <v>53</v>
      </c>
      <c r="H176" t="s">
        <v>82</v>
      </c>
      <c r="I176" t="s">
        <v>55</v>
      </c>
      <c r="J176" t="s">
        <v>83</v>
      </c>
      <c r="K176" t="s">
        <v>22</v>
      </c>
      <c r="L176" t="s">
        <v>26</v>
      </c>
      <c r="M176">
        <v>1</v>
      </c>
      <c r="N176">
        <v>1</v>
      </c>
      <c r="O176" t="s">
        <v>32</v>
      </c>
      <c r="P176" t="s">
        <v>32</v>
      </c>
      <c r="Q176" t="s">
        <v>25</v>
      </c>
      <c r="R176">
        <v>7372</v>
      </c>
      <c r="S176" t="b">
        <f>OR(R176&lt;W176,R176&gt;X176)</f>
        <v>0</v>
      </c>
      <c r="T176">
        <f t="shared" si="27"/>
        <v>4262.5</v>
      </c>
      <c r="U176">
        <f t="shared" si="28"/>
        <v>7691.25</v>
      </c>
      <c r="V176">
        <f t="shared" si="29"/>
        <v>3428.75</v>
      </c>
      <c r="W176">
        <f t="shared" si="30"/>
        <v>-6023.75</v>
      </c>
      <c r="X176">
        <f t="shared" si="31"/>
        <v>17977.5</v>
      </c>
    </row>
    <row r="177" spans="1:24" x14ac:dyDescent="0.35">
      <c r="A177" t="s">
        <v>124</v>
      </c>
      <c r="B177" t="s">
        <v>101</v>
      </c>
      <c r="C177">
        <v>8</v>
      </c>
      <c r="D177" t="s">
        <v>15</v>
      </c>
      <c r="E177" t="s">
        <v>64</v>
      </c>
      <c r="F177" t="s">
        <v>65</v>
      </c>
      <c r="G177" t="s">
        <v>53</v>
      </c>
      <c r="H177" t="s">
        <v>82</v>
      </c>
      <c r="I177" t="s">
        <v>55</v>
      </c>
      <c r="J177" t="s">
        <v>83</v>
      </c>
      <c r="K177" t="s">
        <v>22</v>
      </c>
      <c r="L177" t="s">
        <v>26</v>
      </c>
      <c r="M177">
        <v>1</v>
      </c>
      <c r="N177">
        <v>1</v>
      </c>
      <c r="O177" t="s">
        <v>33</v>
      </c>
      <c r="P177" t="s">
        <v>33</v>
      </c>
      <c r="Q177" t="s">
        <v>25</v>
      </c>
      <c r="R177">
        <v>5578</v>
      </c>
      <c r="S177" t="b">
        <f t="shared" ref="S177" si="32">OR(R177&lt;W177,R177&gt;X177)</f>
        <v>0</v>
      </c>
      <c r="T177">
        <f t="shared" si="27"/>
        <v>4262.5</v>
      </c>
      <c r="U177">
        <f t="shared" si="28"/>
        <v>7691.25</v>
      </c>
      <c r="V177">
        <f t="shared" si="29"/>
        <v>3428.75</v>
      </c>
      <c r="W177">
        <f t="shared" si="30"/>
        <v>-6023.75</v>
      </c>
      <c r="X177">
        <f t="shared" si="31"/>
        <v>17977.5</v>
      </c>
    </row>
    <row r="178" spans="1:24" x14ac:dyDescent="0.35">
      <c r="A178" t="s">
        <v>103</v>
      </c>
      <c r="B178" t="s">
        <v>39</v>
      </c>
      <c r="C178">
        <v>3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22</v>
      </c>
      <c r="L178" t="s">
        <v>26</v>
      </c>
      <c r="M178">
        <v>3</v>
      </c>
      <c r="N178">
        <v>1</v>
      </c>
      <c r="O178" t="s">
        <v>28</v>
      </c>
      <c r="P178" t="s">
        <v>28</v>
      </c>
      <c r="Q178" t="s">
        <v>25</v>
      </c>
      <c r="R178">
        <v>22820</v>
      </c>
      <c r="S178" t="b">
        <f>OR(R178&lt;W178,R178&gt;X178)</f>
        <v>0</v>
      </c>
      <c r="T178">
        <f>_xlfn.PERCENTILE.INC(R178:R219,0.25)</f>
        <v>8723.5</v>
      </c>
      <c r="U178">
        <f>_xlfn.PERCENTILE.INC(R178:R219,0.75)</f>
        <v>17110.5</v>
      </c>
      <c r="V178">
        <f>U178-T178</f>
        <v>8387</v>
      </c>
      <c r="W178">
        <f>T178-(3*V178)</f>
        <v>-16437.5</v>
      </c>
      <c r="X178">
        <f>U178+(3*V178)</f>
        <v>42271.5</v>
      </c>
    </row>
    <row r="179" spans="1:24" x14ac:dyDescent="0.35">
      <c r="A179" t="s">
        <v>103</v>
      </c>
      <c r="B179" t="s">
        <v>39</v>
      </c>
      <c r="C179">
        <v>11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26</v>
      </c>
      <c r="M179">
        <v>3</v>
      </c>
      <c r="N179">
        <v>1</v>
      </c>
      <c r="O179" t="s">
        <v>36</v>
      </c>
      <c r="P179" t="s">
        <v>36</v>
      </c>
      <c r="Q179" t="s">
        <v>25</v>
      </c>
      <c r="R179">
        <v>14329</v>
      </c>
      <c r="S179" t="b">
        <f t="shared" ref="S179:S219" si="33">OR(R179&lt;W179,R179&gt;X179)</f>
        <v>0</v>
      </c>
      <c r="T179">
        <f>T178</f>
        <v>8723.5</v>
      </c>
      <c r="U179">
        <f>U178</f>
        <v>17110.5</v>
      </c>
      <c r="V179">
        <f>V178</f>
        <v>8387</v>
      </c>
      <c r="W179">
        <f>W178</f>
        <v>-16437.5</v>
      </c>
      <c r="X179">
        <f>X178</f>
        <v>42271.5</v>
      </c>
    </row>
    <row r="180" spans="1:24" x14ac:dyDescent="0.35">
      <c r="A180" t="s">
        <v>104</v>
      </c>
      <c r="B180" t="s">
        <v>51</v>
      </c>
      <c r="C180">
        <v>3</v>
      </c>
      <c r="D180" t="s">
        <v>40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41</v>
      </c>
      <c r="L180" t="s">
        <v>26</v>
      </c>
      <c r="M180">
        <v>3</v>
      </c>
      <c r="N180">
        <v>1</v>
      </c>
      <c r="O180" t="s">
        <v>28</v>
      </c>
      <c r="P180" t="s">
        <v>45</v>
      </c>
      <c r="Q180" t="s">
        <v>43</v>
      </c>
      <c r="R180">
        <v>6226</v>
      </c>
      <c r="S180" t="b">
        <f t="shared" si="33"/>
        <v>0</v>
      </c>
      <c r="T180">
        <f t="shared" ref="T180:T221" si="34">T179</f>
        <v>8723.5</v>
      </c>
      <c r="U180">
        <f t="shared" ref="U180:U221" si="35">U179</f>
        <v>17110.5</v>
      </c>
      <c r="V180">
        <f t="shared" ref="V180:V221" si="36">V179</f>
        <v>8387</v>
      </c>
      <c r="W180">
        <f t="shared" ref="W180:W221" si="37">W179</f>
        <v>-16437.5</v>
      </c>
      <c r="X180">
        <f t="shared" ref="X180:X221" si="38">X179</f>
        <v>42271.5</v>
      </c>
    </row>
    <row r="181" spans="1:24" x14ac:dyDescent="0.35">
      <c r="A181" t="s">
        <v>104</v>
      </c>
      <c r="B181" t="s">
        <v>51</v>
      </c>
      <c r="C181">
        <v>11</v>
      </c>
      <c r="D181" t="s">
        <v>40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41</v>
      </c>
      <c r="L181" t="s">
        <v>26</v>
      </c>
      <c r="M181">
        <v>3</v>
      </c>
      <c r="N181">
        <v>1</v>
      </c>
      <c r="O181" t="s">
        <v>36</v>
      </c>
      <c r="P181" t="s">
        <v>49</v>
      </c>
      <c r="Q181" t="s">
        <v>43</v>
      </c>
      <c r="R181">
        <v>6446</v>
      </c>
      <c r="S181" t="b">
        <f t="shared" si="33"/>
        <v>0</v>
      </c>
      <c r="T181">
        <f t="shared" si="34"/>
        <v>8723.5</v>
      </c>
      <c r="U181">
        <f t="shared" si="35"/>
        <v>17110.5</v>
      </c>
      <c r="V181">
        <f t="shared" si="36"/>
        <v>8387</v>
      </c>
      <c r="W181">
        <f t="shared" si="37"/>
        <v>-16437.5</v>
      </c>
      <c r="X181">
        <f t="shared" si="38"/>
        <v>42271.5</v>
      </c>
    </row>
    <row r="182" spans="1:24" x14ac:dyDescent="0.35">
      <c r="A182" t="s">
        <v>105</v>
      </c>
      <c r="B182" t="s">
        <v>58</v>
      </c>
      <c r="C182">
        <v>3</v>
      </c>
      <c r="D182" t="s">
        <v>52</v>
      </c>
      <c r="E182" t="s">
        <v>16</v>
      </c>
      <c r="F182" t="s">
        <v>17</v>
      </c>
      <c r="G182" t="s">
        <v>53</v>
      </c>
      <c r="H182" t="s">
        <v>54</v>
      </c>
      <c r="I182" t="s">
        <v>55</v>
      </c>
      <c r="J182" t="s">
        <v>56</v>
      </c>
      <c r="K182" t="s">
        <v>22</v>
      </c>
      <c r="L182" t="s">
        <v>26</v>
      </c>
      <c r="M182">
        <v>3</v>
      </c>
      <c r="N182">
        <v>1</v>
      </c>
      <c r="O182" t="s">
        <v>28</v>
      </c>
      <c r="P182" t="s">
        <v>28</v>
      </c>
      <c r="Q182" t="s">
        <v>25</v>
      </c>
      <c r="R182">
        <v>15828</v>
      </c>
      <c r="S182" t="b">
        <f t="shared" si="33"/>
        <v>0</v>
      </c>
      <c r="T182">
        <f t="shared" si="34"/>
        <v>8723.5</v>
      </c>
      <c r="U182">
        <f t="shared" si="35"/>
        <v>17110.5</v>
      </c>
      <c r="V182">
        <f t="shared" si="36"/>
        <v>8387</v>
      </c>
      <c r="W182">
        <f t="shared" si="37"/>
        <v>-16437.5</v>
      </c>
      <c r="X182">
        <f t="shared" si="38"/>
        <v>42271.5</v>
      </c>
    </row>
    <row r="183" spans="1:24" x14ac:dyDescent="0.35">
      <c r="A183" t="s">
        <v>105</v>
      </c>
      <c r="B183" t="s">
        <v>58</v>
      </c>
      <c r="C183">
        <v>11</v>
      </c>
      <c r="D183" t="s">
        <v>52</v>
      </c>
      <c r="E183" t="s">
        <v>16</v>
      </c>
      <c r="F183" t="s">
        <v>17</v>
      </c>
      <c r="G183" t="s">
        <v>53</v>
      </c>
      <c r="H183" t="s">
        <v>54</v>
      </c>
      <c r="I183" t="s">
        <v>55</v>
      </c>
      <c r="J183" t="s">
        <v>56</v>
      </c>
      <c r="K183" t="s">
        <v>22</v>
      </c>
      <c r="L183" t="s">
        <v>26</v>
      </c>
      <c r="M183">
        <v>3</v>
      </c>
      <c r="N183">
        <v>1</v>
      </c>
      <c r="O183" t="s">
        <v>36</v>
      </c>
      <c r="P183" t="s">
        <v>36</v>
      </c>
      <c r="Q183" t="s">
        <v>25</v>
      </c>
      <c r="R183">
        <v>15964</v>
      </c>
      <c r="S183" t="b">
        <f t="shared" si="33"/>
        <v>0</v>
      </c>
      <c r="T183">
        <f t="shared" si="34"/>
        <v>8723.5</v>
      </c>
      <c r="U183">
        <f t="shared" si="35"/>
        <v>17110.5</v>
      </c>
      <c r="V183">
        <f t="shared" si="36"/>
        <v>8387</v>
      </c>
      <c r="W183">
        <f t="shared" si="37"/>
        <v>-16437.5</v>
      </c>
      <c r="X183">
        <f t="shared" si="38"/>
        <v>42271.5</v>
      </c>
    </row>
    <row r="184" spans="1:24" x14ac:dyDescent="0.35">
      <c r="A184" t="s">
        <v>106</v>
      </c>
      <c r="B184" t="s">
        <v>60</v>
      </c>
      <c r="C184">
        <v>3</v>
      </c>
      <c r="D184" t="s">
        <v>59</v>
      </c>
      <c r="E184" t="s">
        <v>16</v>
      </c>
      <c r="F184" t="s">
        <v>17</v>
      </c>
      <c r="G184" t="s">
        <v>18</v>
      </c>
      <c r="H184" t="s">
        <v>54</v>
      </c>
      <c r="I184" t="s">
        <v>55</v>
      </c>
      <c r="J184" t="s">
        <v>21</v>
      </c>
      <c r="K184" t="s">
        <v>22</v>
      </c>
      <c r="L184" t="s">
        <v>26</v>
      </c>
      <c r="M184">
        <v>3</v>
      </c>
      <c r="N184">
        <v>1</v>
      </c>
      <c r="O184" t="s">
        <v>28</v>
      </c>
      <c r="P184" t="s">
        <v>28</v>
      </c>
      <c r="Q184" t="s">
        <v>25</v>
      </c>
      <c r="R184">
        <v>14917</v>
      </c>
      <c r="S184" t="b">
        <f t="shared" si="33"/>
        <v>0</v>
      </c>
      <c r="T184">
        <f t="shared" si="34"/>
        <v>8723.5</v>
      </c>
      <c r="U184">
        <f t="shared" si="35"/>
        <v>17110.5</v>
      </c>
      <c r="V184">
        <f t="shared" si="36"/>
        <v>8387</v>
      </c>
      <c r="W184">
        <f t="shared" si="37"/>
        <v>-16437.5</v>
      </c>
      <c r="X184">
        <f t="shared" si="38"/>
        <v>42271.5</v>
      </c>
    </row>
    <row r="185" spans="1:24" x14ac:dyDescent="0.35">
      <c r="A185" t="s">
        <v>106</v>
      </c>
      <c r="B185" t="s">
        <v>60</v>
      </c>
      <c r="C185">
        <v>11</v>
      </c>
      <c r="D185" t="s">
        <v>59</v>
      </c>
      <c r="E185" t="s">
        <v>16</v>
      </c>
      <c r="F185" t="s">
        <v>17</v>
      </c>
      <c r="G185" t="s">
        <v>18</v>
      </c>
      <c r="H185" t="s">
        <v>54</v>
      </c>
      <c r="I185" t="s">
        <v>55</v>
      </c>
      <c r="J185" t="s">
        <v>21</v>
      </c>
      <c r="K185" t="s">
        <v>22</v>
      </c>
      <c r="L185" t="s">
        <v>26</v>
      </c>
      <c r="M185">
        <v>3</v>
      </c>
      <c r="N185">
        <v>1</v>
      </c>
      <c r="O185" t="s">
        <v>36</v>
      </c>
      <c r="P185" t="s">
        <v>36</v>
      </c>
      <c r="Q185" t="s">
        <v>25</v>
      </c>
      <c r="R185">
        <v>13172</v>
      </c>
      <c r="S185" t="b">
        <f t="shared" si="33"/>
        <v>0</v>
      </c>
      <c r="T185">
        <f t="shared" si="34"/>
        <v>8723.5</v>
      </c>
      <c r="U185">
        <f t="shared" si="35"/>
        <v>17110.5</v>
      </c>
      <c r="V185">
        <f t="shared" si="36"/>
        <v>8387</v>
      </c>
      <c r="W185">
        <f t="shared" si="37"/>
        <v>-16437.5</v>
      </c>
      <c r="X185">
        <f t="shared" si="38"/>
        <v>42271.5</v>
      </c>
    </row>
    <row r="186" spans="1:24" x14ac:dyDescent="0.35">
      <c r="A186" t="s">
        <v>107</v>
      </c>
      <c r="B186" t="s">
        <v>62</v>
      </c>
      <c r="C186">
        <v>3</v>
      </c>
      <c r="D186" t="s">
        <v>15</v>
      </c>
      <c r="E186" t="s">
        <v>16</v>
      </c>
      <c r="F186" t="s">
        <v>17</v>
      </c>
      <c r="G186" t="s">
        <v>53</v>
      </c>
      <c r="H186" t="s">
        <v>72</v>
      </c>
      <c r="I186" t="s">
        <v>20</v>
      </c>
      <c r="J186" t="s">
        <v>21</v>
      </c>
      <c r="K186" t="s">
        <v>41</v>
      </c>
      <c r="L186" t="s">
        <v>26</v>
      </c>
      <c r="M186">
        <v>3</v>
      </c>
      <c r="N186">
        <v>1</v>
      </c>
      <c r="O186" t="s">
        <v>28</v>
      </c>
      <c r="P186" t="s">
        <v>28</v>
      </c>
      <c r="Q186" t="s">
        <v>25</v>
      </c>
      <c r="R186">
        <v>15315</v>
      </c>
      <c r="S186" t="b">
        <f t="shared" si="33"/>
        <v>0</v>
      </c>
      <c r="T186">
        <f t="shared" si="34"/>
        <v>8723.5</v>
      </c>
      <c r="U186">
        <f t="shared" si="35"/>
        <v>17110.5</v>
      </c>
      <c r="V186">
        <f t="shared" si="36"/>
        <v>8387</v>
      </c>
      <c r="W186">
        <f t="shared" si="37"/>
        <v>-16437.5</v>
      </c>
      <c r="X186">
        <f t="shared" si="38"/>
        <v>42271.5</v>
      </c>
    </row>
    <row r="187" spans="1:24" x14ac:dyDescent="0.35">
      <c r="A187" t="s">
        <v>107</v>
      </c>
      <c r="B187" t="s">
        <v>62</v>
      </c>
      <c r="C187">
        <v>11</v>
      </c>
      <c r="D187" t="s">
        <v>15</v>
      </c>
      <c r="E187" t="s">
        <v>16</v>
      </c>
      <c r="F187" t="s">
        <v>17</v>
      </c>
      <c r="G187" t="s">
        <v>53</v>
      </c>
      <c r="H187" t="s">
        <v>72</v>
      </c>
      <c r="I187" t="s">
        <v>20</v>
      </c>
      <c r="J187" t="s">
        <v>21</v>
      </c>
      <c r="K187" t="s">
        <v>41</v>
      </c>
      <c r="L187" t="s">
        <v>26</v>
      </c>
      <c r="M187">
        <v>3</v>
      </c>
      <c r="N187">
        <v>1</v>
      </c>
      <c r="O187" t="s">
        <v>36</v>
      </c>
      <c r="P187" t="s">
        <v>36</v>
      </c>
      <c r="Q187" t="s">
        <v>25</v>
      </c>
      <c r="R187">
        <v>14758</v>
      </c>
      <c r="S187" t="b">
        <f t="shared" si="33"/>
        <v>0</v>
      </c>
      <c r="T187">
        <f t="shared" si="34"/>
        <v>8723.5</v>
      </c>
      <c r="U187">
        <f t="shared" si="35"/>
        <v>17110.5</v>
      </c>
      <c r="V187">
        <f t="shared" si="36"/>
        <v>8387</v>
      </c>
      <c r="W187">
        <f t="shared" si="37"/>
        <v>-16437.5</v>
      </c>
      <c r="X187">
        <f t="shared" si="38"/>
        <v>42271.5</v>
      </c>
    </row>
    <row r="188" spans="1:24" x14ac:dyDescent="0.35">
      <c r="A188" t="s">
        <v>108</v>
      </c>
      <c r="B188" t="s">
        <v>63</v>
      </c>
      <c r="C188">
        <v>3</v>
      </c>
      <c r="D188" t="s">
        <v>52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56</v>
      </c>
      <c r="K188" t="s">
        <v>61</v>
      </c>
      <c r="L188" t="s">
        <v>26</v>
      </c>
      <c r="M188">
        <v>3</v>
      </c>
      <c r="N188">
        <v>1</v>
      </c>
      <c r="O188" t="s">
        <v>28</v>
      </c>
      <c r="P188" t="s">
        <v>28</v>
      </c>
      <c r="Q188" t="s">
        <v>25</v>
      </c>
      <c r="R188">
        <v>10230</v>
      </c>
      <c r="S188" t="b">
        <f t="shared" si="33"/>
        <v>0</v>
      </c>
      <c r="T188">
        <f t="shared" si="34"/>
        <v>8723.5</v>
      </c>
      <c r="U188">
        <f t="shared" si="35"/>
        <v>17110.5</v>
      </c>
      <c r="V188">
        <f t="shared" si="36"/>
        <v>8387</v>
      </c>
      <c r="W188">
        <f t="shared" si="37"/>
        <v>-16437.5</v>
      </c>
      <c r="X188">
        <f t="shared" si="38"/>
        <v>42271.5</v>
      </c>
    </row>
    <row r="189" spans="1:24" x14ac:dyDescent="0.35">
      <c r="A189" t="s">
        <v>108</v>
      </c>
      <c r="B189" t="s">
        <v>63</v>
      </c>
      <c r="C189">
        <v>11</v>
      </c>
      <c r="D189" t="s">
        <v>52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56</v>
      </c>
      <c r="K189" t="s">
        <v>61</v>
      </c>
      <c r="L189" t="s">
        <v>26</v>
      </c>
      <c r="M189">
        <v>3</v>
      </c>
      <c r="N189">
        <v>1</v>
      </c>
      <c r="O189" t="s">
        <v>36</v>
      </c>
      <c r="P189" t="s">
        <v>36</v>
      </c>
      <c r="Q189" t="s">
        <v>25</v>
      </c>
      <c r="R189">
        <v>8689</v>
      </c>
      <c r="S189" t="b">
        <f t="shared" si="33"/>
        <v>0</v>
      </c>
      <c r="T189">
        <f t="shared" si="34"/>
        <v>8723.5</v>
      </c>
      <c r="U189">
        <f t="shared" si="35"/>
        <v>17110.5</v>
      </c>
      <c r="V189">
        <f t="shared" si="36"/>
        <v>8387</v>
      </c>
      <c r="W189">
        <f t="shared" si="37"/>
        <v>-16437.5</v>
      </c>
      <c r="X189">
        <f t="shared" si="38"/>
        <v>42271.5</v>
      </c>
    </row>
    <row r="190" spans="1:24" x14ac:dyDescent="0.35">
      <c r="A190" t="s">
        <v>109</v>
      </c>
      <c r="B190" t="s">
        <v>71</v>
      </c>
      <c r="C190">
        <v>3</v>
      </c>
      <c r="D190" t="s">
        <v>15</v>
      </c>
      <c r="E190" t="s">
        <v>16</v>
      </c>
      <c r="F190" t="s">
        <v>17</v>
      </c>
      <c r="G190" t="s">
        <v>53</v>
      </c>
      <c r="H190" t="s">
        <v>54</v>
      </c>
      <c r="I190" t="s">
        <v>20</v>
      </c>
      <c r="J190" t="s">
        <v>21</v>
      </c>
      <c r="K190" t="s">
        <v>41</v>
      </c>
      <c r="L190" t="s">
        <v>26</v>
      </c>
      <c r="M190">
        <v>3</v>
      </c>
      <c r="N190">
        <v>1</v>
      </c>
      <c r="O190" t="s">
        <v>28</v>
      </c>
      <c r="P190" t="s">
        <v>28</v>
      </c>
      <c r="Q190" t="s">
        <v>25</v>
      </c>
      <c r="R190">
        <v>8480</v>
      </c>
      <c r="S190" t="b">
        <f t="shared" si="33"/>
        <v>0</v>
      </c>
      <c r="T190">
        <f t="shared" si="34"/>
        <v>8723.5</v>
      </c>
      <c r="U190">
        <f t="shared" si="35"/>
        <v>17110.5</v>
      </c>
      <c r="V190">
        <f t="shared" si="36"/>
        <v>8387</v>
      </c>
      <c r="W190">
        <f t="shared" si="37"/>
        <v>-16437.5</v>
      </c>
      <c r="X190">
        <f t="shared" si="38"/>
        <v>42271.5</v>
      </c>
    </row>
    <row r="191" spans="1:24" x14ac:dyDescent="0.35">
      <c r="A191" t="s">
        <v>109</v>
      </c>
      <c r="B191" t="s">
        <v>71</v>
      </c>
      <c r="C191">
        <v>11</v>
      </c>
      <c r="D191" t="s">
        <v>15</v>
      </c>
      <c r="E191" t="s">
        <v>16</v>
      </c>
      <c r="F191" t="s">
        <v>17</v>
      </c>
      <c r="G191" t="s">
        <v>53</v>
      </c>
      <c r="H191" t="s">
        <v>54</v>
      </c>
      <c r="I191" t="s">
        <v>20</v>
      </c>
      <c r="J191" t="s">
        <v>21</v>
      </c>
      <c r="K191" t="s">
        <v>41</v>
      </c>
      <c r="L191" t="s">
        <v>26</v>
      </c>
      <c r="M191">
        <v>3</v>
      </c>
      <c r="N191">
        <v>1</v>
      </c>
      <c r="O191" t="s">
        <v>36</v>
      </c>
      <c r="P191" t="s">
        <v>36</v>
      </c>
      <c r="Q191" t="s">
        <v>25</v>
      </c>
      <c r="R191">
        <v>6869</v>
      </c>
      <c r="S191" t="b">
        <f t="shared" si="33"/>
        <v>0</v>
      </c>
      <c r="T191">
        <f t="shared" si="34"/>
        <v>8723.5</v>
      </c>
      <c r="U191">
        <f t="shared" si="35"/>
        <v>17110.5</v>
      </c>
      <c r="V191">
        <f t="shared" si="36"/>
        <v>8387</v>
      </c>
      <c r="W191">
        <f t="shared" si="37"/>
        <v>-16437.5</v>
      </c>
      <c r="X191">
        <f t="shared" si="38"/>
        <v>42271.5</v>
      </c>
    </row>
    <row r="192" spans="1:24" x14ac:dyDescent="0.35">
      <c r="A192" t="s">
        <v>110</v>
      </c>
      <c r="B192" t="s">
        <v>69</v>
      </c>
      <c r="C192">
        <v>3</v>
      </c>
      <c r="D192" t="s">
        <v>40</v>
      </c>
      <c r="E192" t="s">
        <v>64</v>
      </c>
      <c r="F192" t="s">
        <v>65</v>
      </c>
      <c r="G192" t="s">
        <v>53</v>
      </c>
      <c r="H192" t="s">
        <v>54</v>
      </c>
      <c r="I192" t="s">
        <v>20</v>
      </c>
      <c r="J192" t="s">
        <v>66</v>
      </c>
      <c r="K192" t="s">
        <v>41</v>
      </c>
      <c r="L192" t="s">
        <v>26</v>
      </c>
      <c r="M192">
        <v>3</v>
      </c>
      <c r="N192">
        <v>2</v>
      </c>
      <c r="O192" t="s">
        <v>28</v>
      </c>
      <c r="P192" t="s">
        <v>28</v>
      </c>
      <c r="Q192" t="s">
        <v>25</v>
      </c>
      <c r="R192">
        <v>20079</v>
      </c>
      <c r="S192" t="b">
        <f t="shared" si="33"/>
        <v>0</v>
      </c>
      <c r="T192">
        <f t="shared" si="34"/>
        <v>8723.5</v>
      </c>
      <c r="U192">
        <f t="shared" si="35"/>
        <v>17110.5</v>
      </c>
      <c r="V192">
        <f t="shared" si="36"/>
        <v>8387</v>
      </c>
      <c r="W192">
        <f t="shared" si="37"/>
        <v>-16437.5</v>
      </c>
      <c r="X192">
        <f t="shared" si="38"/>
        <v>42271.5</v>
      </c>
    </row>
    <row r="193" spans="1:24" x14ac:dyDescent="0.35">
      <c r="A193" t="s">
        <v>110</v>
      </c>
      <c r="B193" t="s">
        <v>69</v>
      </c>
      <c r="C193">
        <v>11</v>
      </c>
      <c r="D193" t="s">
        <v>40</v>
      </c>
      <c r="E193" t="s">
        <v>64</v>
      </c>
      <c r="F193" t="s">
        <v>65</v>
      </c>
      <c r="G193" t="s">
        <v>53</v>
      </c>
      <c r="H193" t="s">
        <v>54</v>
      </c>
      <c r="I193" t="s">
        <v>20</v>
      </c>
      <c r="J193" t="s">
        <v>66</v>
      </c>
      <c r="K193" t="s">
        <v>41</v>
      </c>
      <c r="L193" t="s">
        <v>26</v>
      </c>
      <c r="M193">
        <v>3</v>
      </c>
      <c r="N193">
        <v>1</v>
      </c>
      <c r="O193" t="s">
        <v>36</v>
      </c>
      <c r="P193" t="s">
        <v>36</v>
      </c>
      <c r="Q193" t="s">
        <v>25</v>
      </c>
      <c r="R193">
        <v>17193</v>
      </c>
      <c r="S193" t="b">
        <f t="shared" si="33"/>
        <v>0</v>
      </c>
      <c r="T193">
        <f t="shared" si="34"/>
        <v>8723.5</v>
      </c>
      <c r="U193">
        <f t="shared" si="35"/>
        <v>17110.5</v>
      </c>
      <c r="V193">
        <f t="shared" si="36"/>
        <v>8387</v>
      </c>
      <c r="W193">
        <f t="shared" si="37"/>
        <v>-16437.5</v>
      </c>
      <c r="X193">
        <f t="shared" si="38"/>
        <v>42271.5</v>
      </c>
    </row>
    <row r="194" spans="1:24" x14ac:dyDescent="0.35">
      <c r="A194" t="s">
        <v>111</v>
      </c>
      <c r="B194" t="s">
        <v>70</v>
      </c>
      <c r="C194">
        <v>3</v>
      </c>
      <c r="D194" t="s">
        <v>52</v>
      </c>
      <c r="E194" t="s">
        <v>64</v>
      </c>
      <c r="F194" t="s">
        <v>65</v>
      </c>
      <c r="G194" t="s">
        <v>53</v>
      </c>
      <c r="H194" t="s">
        <v>68</v>
      </c>
      <c r="I194" t="s">
        <v>20</v>
      </c>
      <c r="J194" t="s">
        <v>21</v>
      </c>
      <c r="K194" t="s">
        <v>41</v>
      </c>
      <c r="L194" t="s">
        <v>26</v>
      </c>
      <c r="M194">
        <v>3</v>
      </c>
      <c r="N194">
        <v>2</v>
      </c>
      <c r="O194" t="s">
        <v>28</v>
      </c>
      <c r="P194" t="s">
        <v>28</v>
      </c>
      <c r="Q194" t="s">
        <v>25</v>
      </c>
      <c r="R194">
        <v>20949</v>
      </c>
      <c r="S194" t="b">
        <f t="shared" si="33"/>
        <v>0</v>
      </c>
      <c r="T194">
        <f t="shared" si="34"/>
        <v>8723.5</v>
      </c>
      <c r="U194">
        <f t="shared" si="35"/>
        <v>17110.5</v>
      </c>
      <c r="V194">
        <f t="shared" si="36"/>
        <v>8387</v>
      </c>
      <c r="W194">
        <f t="shared" si="37"/>
        <v>-16437.5</v>
      </c>
      <c r="X194">
        <f t="shared" si="38"/>
        <v>42271.5</v>
      </c>
    </row>
    <row r="195" spans="1:24" x14ac:dyDescent="0.35">
      <c r="A195" t="s">
        <v>111</v>
      </c>
      <c r="B195" t="s">
        <v>70</v>
      </c>
      <c r="C195">
        <v>11</v>
      </c>
      <c r="D195" t="s">
        <v>52</v>
      </c>
      <c r="E195" t="s">
        <v>64</v>
      </c>
      <c r="F195" t="s">
        <v>65</v>
      </c>
      <c r="G195" t="s">
        <v>53</v>
      </c>
      <c r="H195" t="s">
        <v>68</v>
      </c>
      <c r="I195" t="s">
        <v>20</v>
      </c>
      <c r="J195" t="s">
        <v>21</v>
      </c>
      <c r="K195" t="s">
        <v>41</v>
      </c>
      <c r="L195" t="s">
        <v>26</v>
      </c>
      <c r="M195">
        <v>3</v>
      </c>
      <c r="N195">
        <v>1</v>
      </c>
      <c r="O195" t="s">
        <v>36</v>
      </c>
      <c r="P195" t="s">
        <v>36</v>
      </c>
      <c r="Q195" t="s">
        <v>25</v>
      </c>
      <c r="R195">
        <v>12060</v>
      </c>
      <c r="S195" t="b">
        <f t="shared" si="33"/>
        <v>0</v>
      </c>
      <c r="T195">
        <f t="shared" si="34"/>
        <v>8723.5</v>
      </c>
      <c r="U195">
        <f t="shared" si="35"/>
        <v>17110.5</v>
      </c>
      <c r="V195">
        <f t="shared" si="36"/>
        <v>8387</v>
      </c>
      <c r="W195">
        <f t="shared" si="37"/>
        <v>-16437.5</v>
      </c>
      <c r="X195">
        <f t="shared" si="38"/>
        <v>42271.5</v>
      </c>
    </row>
    <row r="196" spans="1:24" x14ac:dyDescent="0.35">
      <c r="A196" t="s">
        <v>112</v>
      </c>
      <c r="B196" t="s">
        <v>74</v>
      </c>
      <c r="C196">
        <v>3</v>
      </c>
      <c r="D196" t="s">
        <v>15</v>
      </c>
      <c r="E196" t="s">
        <v>16</v>
      </c>
      <c r="F196" t="s">
        <v>17</v>
      </c>
      <c r="G196" t="s">
        <v>18</v>
      </c>
      <c r="H196" t="s">
        <v>54</v>
      </c>
      <c r="I196" t="s">
        <v>20</v>
      </c>
      <c r="J196" t="s">
        <v>21</v>
      </c>
      <c r="K196" t="s">
        <v>41</v>
      </c>
      <c r="L196" t="s">
        <v>26</v>
      </c>
      <c r="M196">
        <v>3</v>
      </c>
      <c r="N196">
        <v>1</v>
      </c>
      <c r="O196" t="s">
        <v>28</v>
      </c>
      <c r="P196" t="s">
        <v>28</v>
      </c>
      <c r="Q196" t="s">
        <v>25</v>
      </c>
      <c r="R196">
        <v>16863</v>
      </c>
      <c r="S196" t="b">
        <f t="shared" si="33"/>
        <v>0</v>
      </c>
      <c r="T196">
        <f t="shared" si="34"/>
        <v>8723.5</v>
      </c>
      <c r="U196">
        <f t="shared" si="35"/>
        <v>17110.5</v>
      </c>
      <c r="V196">
        <f t="shared" si="36"/>
        <v>8387</v>
      </c>
      <c r="W196">
        <f t="shared" si="37"/>
        <v>-16437.5</v>
      </c>
      <c r="X196">
        <f t="shared" si="38"/>
        <v>42271.5</v>
      </c>
    </row>
    <row r="197" spans="1:24" x14ac:dyDescent="0.35">
      <c r="A197" t="s">
        <v>112</v>
      </c>
      <c r="B197" t="s">
        <v>74</v>
      </c>
      <c r="C197">
        <v>11</v>
      </c>
      <c r="D197" t="s">
        <v>15</v>
      </c>
      <c r="E197" t="s">
        <v>16</v>
      </c>
      <c r="F197" t="s">
        <v>17</v>
      </c>
      <c r="G197" t="s">
        <v>18</v>
      </c>
      <c r="H197" t="s">
        <v>54</v>
      </c>
      <c r="I197" t="s">
        <v>20</v>
      </c>
      <c r="J197" t="s">
        <v>21</v>
      </c>
      <c r="K197" t="s">
        <v>41</v>
      </c>
      <c r="L197" t="s">
        <v>26</v>
      </c>
      <c r="M197">
        <v>3</v>
      </c>
      <c r="N197">
        <v>1</v>
      </c>
      <c r="O197" t="s">
        <v>36</v>
      </c>
      <c r="P197" t="s">
        <v>36</v>
      </c>
      <c r="Q197" t="s">
        <v>25</v>
      </c>
      <c r="R197">
        <v>10016</v>
      </c>
      <c r="S197" t="b">
        <f t="shared" si="33"/>
        <v>0</v>
      </c>
      <c r="T197">
        <f t="shared" si="34"/>
        <v>8723.5</v>
      </c>
      <c r="U197">
        <f t="shared" si="35"/>
        <v>17110.5</v>
      </c>
      <c r="V197">
        <f t="shared" si="36"/>
        <v>8387</v>
      </c>
      <c r="W197">
        <f t="shared" si="37"/>
        <v>-16437.5</v>
      </c>
      <c r="X197">
        <f t="shared" si="38"/>
        <v>42271.5</v>
      </c>
    </row>
    <row r="198" spans="1:24" x14ac:dyDescent="0.35">
      <c r="A198" t="s">
        <v>113</v>
      </c>
      <c r="B198" t="s">
        <v>76</v>
      </c>
      <c r="C198">
        <v>3</v>
      </c>
      <c r="D198" t="s">
        <v>15</v>
      </c>
      <c r="E198" t="s">
        <v>16</v>
      </c>
      <c r="F198" t="s">
        <v>17</v>
      </c>
      <c r="G198" t="s">
        <v>18</v>
      </c>
      <c r="H198" t="s">
        <v>72</v>
      </c>
      <c r="I198" t="s">
        <v>20</v>
      </c>
      <c r="J198" t="s">
        <v>21</v>
      </c>
      <c r="K198" t="s">
        <v>22</v>
      </c>
      <c r="L198" t="s">
        <v>26</v>
      </c>
      <c r="M198">
        <v>3</v>
      </c>
      <c r="N198">
        <v>1</v>
      </c>
      <c r="O198" t="s">
        <v>28</v>
      </c>
      <c r="P198" t="s">
        <v>45</v>
      </c>
      <c r="Q198" t="s">
        <v>43</v>
      </c>
      <c r="R198">
        <v>7376</v>
      </c>
      <c r="S198" t="b">
        <f t="shared" si="33"/>
        <v>0</v>
      </c>
      <c r="T198">
        <f t="shared" si="34"/>
        <v>8723.5</v>
      </c>
      <c r="U198">
        <f t="shared" si="35"/>
        <v>17110.5</v>
      </c>
      <c r="V198">
        <f t="shared" si="36"/>
        <v>8387</v>
      </c>
      <c r="W198">
        <f t="shared" si="37"/>
        <v>-16437.5</v>
      </c>
      <c r="X198">
        <f t="shared" si="38"/>
        <v>42271.5</v>
      </c>
    </row>
    <row r="199" spans="1:24" x14ac:dyDescent="0.35">
      <c r="A199" t="s">
        <v>113</v>
      </c>
      <c r="B199" t="s">
        <v>76</v>
      </c>
      <c r="C199">
        <v>11</v>
      </c>
      <c r="D199" t="s">
        <v>15</v>
      </c>
      <c r="E199" t="s">
        <v>16</v>
      </c>
      <c r="F199" t="s">
        <v>17</v>
      </c>
      <c r="G199" t="s">
        <v>18</v>
      </c>
      <c r="H199" t="s">
        <v>72</v>
      </c>
      <c r="I199" t="s">
        <v>20</v>
      </c>
      <c r="J199" t="s">
        <v>21</v>
      </c>
      <c r="K199" t="s">
        <v>22</v>
      </c>
      <c r="L199" t="s">
        <v>26</v>
      </c>
      <c r="M199">
        <v>3</v>
      </c>
      <c r="N199">
        <v>1</v>
      </c>
      <c r="O199" t="s">
        <v>36</v>
      </c>
      <c r="P199" t="s">
        <v>49</v>
      </c>
      <c r="Q199" t="s">
        <v>43</v>
      </c>
      <c r="R199">
        <v>7042</v>
      </c>
      <c r="S199" t="b">
        <f t="shared" si="33"/>
        <v>0</v>
      </c>
      <c r="T199">
        <f t="shared" si="34"/>
        <v>8723.5</v>
      </c>
      <c r="U199">
        <f t="shared" si="35"/>
        <v>17110.5</v>
      </c>
      <c r="V199">
        <f t="shared" si="36"/>
        <v>8387</v>
      </c>
      <c r="W199">
        <f t="shared" si="37"/>
        <v>-16437.5</v>
      </c>
      <c r="X199">
        <f t="shared" si="38"/>
        <v>42271.5</v>
      </c>
    </row>
    <row r="200" spans="1:24" x14ac:dyDescent="0.35">
      <c r="A200" t="s">
        <v>114</v>
      </c>
      <c r="B200" t="s">
        <v>77</v>
      </c>
      <c r="C200">
        <v>3</v>
      </c>
      <c r="D200" t="s">
        <v>15</v>
      </c>
      <c r="E200" t="s">
        <v>16</v>
      </c>
      <c r="F200" t="s">
        <v>17</v>
      </c>
      <c r="G200" t="s">
        <v>18</v>
      </c>
      <c r="H200" t="s">
        <v>54</v>
      </c>
      <c r="I200" t="s">
        <v>20</v>
      </c>
      <c r="J200" t="s">
        <v>21</v>
      </c>
      <c r="K200" t="s">
        <v>41</v>
      </c>
      <c r="L200" t="s">
        <v>26</v>
      </c>
      <c r="M200">
        <v>3</v>
      </c>
      <c r="N200">
        <v>1</v>
      </c>
      <c r="O200" t="s">
        <v>28</v>
      </c>
      <c r="P200" t="s">
        <v>45</v>
      </c>
      <c r="Q200" t="s">
        <v>43</v>
      </c>
      <c r="R200">
        <v>7079</v>
      </c>
      <c r="S200" t="b">
        <f t="shared" si="33"/>
        <v>0</v>
      </c>
      <c r="T200">
        <f t="shared" si="34"/>
        <v>8723.5</v>
      </c>
      <c r="U200">
        <f t="shared" si="35"/>
        <v>17110.5</v>
      </c>
      <c r="V200">
        <f t="shared" si="36"/>
        <v>8387</v>
      </c>
      <c r="W200">
        <f t="shared" si="37"/>
        <v>-16437.5</v>
      </c>
      <c r="X200">
        <f t="shared" si="38"/>
        <v>42271.5</v>
      </c>
    </row>
    <row r="201" spans="1:24" x14ac:dyDescent="0.35">
      <c r="A201" t="s">
        <v>114</v>
      </c>
      <c r="B201" t="s">
        <v>77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54</v>
      </c>
      <c r="I201" t="s">
        <v>20</v>
      </c>
      <c r="J201" t="s">
        <v>21</v>
      </c>
      <c r="K201" t="s">
        <v>41</v>
      </c>
      <c r="L201" t="s">
        <v>26</v>
      </c>
      <c r="M201">
        <v>3</v>
      </c>
      <c r="N201">
        <v>1</v>
      </c>
      <c r="O201" t="s">
        <v>36</v>
      </c>
      <c r="P201" t="s">
        <v>49</v>
      </c>
      <c r="Q201" t="s">
        <v>43</v>
      </c>
      <c r="R201">
        <v>6774</v>
      </c>
      <c r="S201" t="b">
        <f t="shared" si="33"/>
        <v>0</v>
      </c>
      <c r="T201">
        <f t="shared" si="34"/>
        <v>8723.5</v>
      </c>
      <c r="U201">
        <f t="shared" si="35"/>
        <v>17110.5</v>
      </c>
      <c r="V201">
        <f t="shared" si="36"/>
        <v>8387</v>
      </c>
      <c r="W201">
        <f t="shared" si="37"/>
        <v>-16437.5</v>
      </c>
      <c r="X201">
        <f t="shared" si="38"/>
        <v>42271.5</v>
      </c>
    </row>
    <row r="202" spans="1:24" x14ac:dyDescent="0.35">
      <c r="A202" t="s">
        <v>115</v>
      </c>
      <c r="B202" t="s">
        <v>79</v>
      </c>
      <c r="C202">
        <v>3</v>
      </c>
      <c r="D202" t="s">
        <v>40</v>
      </c>
      <c r="E202" t="s">
        <v>64</v>
      </c>
      <c r="F202" t="s">
        <v>17</v>
      </c>
      <c r="G202" t="s">
        <v>53</v>
      </c>
      <c r="H202" t="s">
        <v>72</v>
      </c>
      <c r="I202" t="s">
        <v>20</v>
      </c>
      <c r="J202" t="s">
        <v>78</v>
      </c>
      <c r="K202" t="s">
        <v>61</v>
      </c>
      <c r="L202" t="s">
        <v>26</v>
      </c>
      <c r="M202">
        <v>3</v>
      </c>
      <c r="N202">
        <v>1</v>
      </c>
      <c r="O202" t="s">
        <v>28</v>
      </c>
      <c r="P202" t="s">
        <v>28</v>
      </c>
      <c r="Q202" t="s">
        <v>25</v>
      </c>
      <c r="R202">
        <v>12329</v>
      </c>
      <c r="S202" t="b">
        <f t="shared" si="33"/>
        <v>0</v>
      </c>
      <c r="T202">
        <f t="shared" si="34"/>
        <v>8723.5</v>
      </c>
      <c r="U202">
        <f t="shared" si="35"/>
        <v>17110.5</v>
      </c>
      <c r="V202">
        <f t="shared" si="36"/>
        <v>8387</v>
      </c>
      <c r="W202">
        <f t="shared" si="37"/>
        <v>-16437.5</v>
      </c>
      <c r="X202">
        <f t="shared" si="38"/>
        <v>42271.5</v>
      </c>
    </row>
    <row r="203" spans="1:24" x14ac:dyDescent="0.35">
      <c r="A203" t="s">
        <v>115</v>
      </c>
      <c r="B203" t="s">
        <v>79</v>
      </c>
      <c r="C203">
        <v>11</v>
      </c>
      <c r="D203" t="s">
        <v>40</v>
      </c>
      <c r="E203" t="s">
        <v>64</v>
      </c>
      <c r="F203" t="s">
        <v>17</v>
      </c>
      <c r="G203" t="s">
        <v>53</v>
      </c>
      <c r="H203" t="s">
        <v>72</v>
      </c>
      <c r="I203" t="s">
        <v>20</v>
      </c>
      <c r="J203" t="s">
        <v>78</v>
      </c>
      <c r="K203" t="s">
        <v>61</v>
      </c>
      <c r="L203" t="s">
        <v>26</v>
      </c>
      <c r="M203">
        <v>3</v>
      </c>
      <c r="N203">
        <v>1</v>
      </c>
      <c r="O203" t="s">
        <v>36</v>
      </c>
      <c r="P203" t="s">
        <v>36</v>
      </c>
      <c r="Q203" t="s">
        <v>25</v>
      </c>
      <c r="R203">
        <v>8827</v>
      </c>
      <c r="S203" t="b">
        <f t="shared" si="33"/>
        <v>0</v>
      </c>
      <c r="T203">
        <f t="shared" si="34"/>
        <v>8723.5</v>
      </c>
      <c r="U203">
        <f t="shared" si="35"/>
        <v>17110.5</v>
      </c>
      <c r="V203">
        <f t="shared" si="36"/>
        <v>8387</v>
      </c>
      <c r="W203">
        <f t="shared" si="37"/>
        <v>-16437.5</v>
      </c>
      <c r="X203">
        <f t="shared" si="38"/>
        <v>42271.5</v>
      </c>
    </row>
    <row r="204" spans="1:24" x14ac:dyDescent="0.35">
      <c r="A204" t="s">
        <v>116</v>
      </c>
      <c r="B204" t="s">
        <v>80</v>
      </c>
      <c r="C204">
        <v>3</v>
      </c>
      <c r="D204" t="s">
        <v>52</v>
      </c>
      <c r="E204" t="s">
        <v>64</v>
      </c>
      <c r="F204" t="s">
        <v>65</v>
      </c>
      <c r="G204" t="s">
        <v>18</v>
      </c>
      <c r="H204" t="s">
        <v>72</v>
      </c>
      <c r="I204" t="s">
        <v>20</v>
      </c>
      <c r="J204" t="s">
        <v>78</v>
      </c>
      <c r="K204" t="s">
        <v>22</v>
      </c>
      <c r="L204" t="s">
        <v>26</v>
      </c>
      <c r="M204">
        <v>3</v>
      </c>
      <c r="N204">
        <v>1</v>
      </c>
      <c r="O204" t="s">
        <v>28</v>
      </c>
      <c r="P204" t="s">
        <v>45</v>
      </c>
      <c r="Q204" t="s">
        <v>43</v>
      </c>
      <c r="R204">
        <v>10307</v>
      </c>
      <c r="S204" t="b">
        <f t="shared" si="33"/>
        <v>0</v>
      </c>
      <c r="T204">
        <f t="shared" si="34"/>
        <v>8723.5</v>
      </c>
      <c r="U204">
        <f t="shared" si="35"/>
        <v>17110.5</v>
      </c>
      <c r="V204">
        <f t="shared" si="36"/>
        <v>8387</v>
      </c>
      <c r="W204">
        <f t="shared" si="37"/>
        <v>-16437.5</v>
      </c>
      <c r="X204">
        <f t="shared" si="38"/>
        <v>42271.5</v>
      </c>
    </row>
    <row r="205" spans="1:24" x14ac:dyDescent="0.35">
      <c r="A205" t="s">
        <v>116</v>
      </c>
      <c r="B205" t="s">
        <v>80</v>
      </c>
      <c r="C205">
        <v>11</v>
      </c>
      <c r="D205" t="s">
        <v>52</v>
      </c>
      <c r="E205" t="s">
        <v>64</v>
      </c>
      <c r="F205" t="s">
        <v>65</v>
      </c>
      <c r="G205" t="s">
        <v>18</v>
      </c>
      <c r="H205" t="s">
        <v>72</v>
      </c>
      <c r="I205" t="s">
        <v>20</v>
      </c>
      <c r="J205" t="s">
        <v>78</v>
      </c>
      <c r="K205" t="s">
        <v>22</v>
      </c>
      <c r="L205" t="s">
        <v>26</v>
      </c>
      <c r="M205">
        <v>3</v>
      </c>
      <c r="N205">
        <v>1</v>
      </c>
      <c r="O205" t="s">
        <v>36</v>
      </c>
      <c r="P205" t="s">
        <v>49</v>
      </c>
      <c r="Q205" t="s">
        <v>43</v>
      </c>
      <c r="R205">
        <v>6915</v>
      </c>
      <c r="S205" t="b">
        <f t="shared" si="33"/>
        <v>0</v>
      </c>
      <c r="T205">
        <f t="shared" si="34"/>
        <v>8723.5</v>
      </c>
      <c r="U205">
        <f t="shared" si="35"/>
        <v>17110.5</v>
      </c>
      <c r="V205">
        <f t="shared" si="36"/>
        <v>8387</v>
      </c>
      <c r="W205">
        <f t="shared" si="37"/>
        <v>-16437.5</v>
      </c>
      <c r="X205">
        <f t="shared" si="38"/>
        <v>42271.5</v>
      </c>
    </row>
    <row r="206" spans="1:24" x14ac:dyDescent="0.35">
      <c r="A206" t="s">
        <v>117</v>
      </c>
      <c r="B206" t="s">
        <v>81</v>
      </c>
      <c r="C206">
        <v>3</v>
      </c>
      <c r="D206" t="s">
        <v>52</v>
      </c>
      <c r="E206" t="s">
        <v>64</v>
      </c>
      <c r="F206" t="s">
        <v>65</v>
      </c>
      <c r="G206" t="s">
        <v>53</v>
      </c>
      <c r="H206" t="s">
        <v>19</v>
      </c>
      <c r="I206" t="s">
        <v>55</v>
      </c>
      <c r="J206" t="s">
        <v>66</v>
      </c>
      <c r="K206" t="s">
        <v>41</v>
      </c>
      <c r="L206" t="s">
        <v>26</v>
      </c>
      <c r="M206">
        <v>3</v>
      </c>
      <c r="N206">
        <v>1</v>
      </c>
      <c r="O206" t="s">
        <v>28</v>
      </c>
      <c r="P206" t="s">
        <v>28</v>
      </c>
      <c r="Q206" t="s">
        <v>25</v>
      </c>
      <c r="R206">
        <v>32161</v>
      </c>
      <c r="S206" t="b">
        <f t="shared" si="33"/>
        <v>0</v>
      </c>
      <c r="T206">
        <f t="shared" si="34"/>
        <v>8723.5</v>
      </c>
      <c r="U206">
        <f t="shared" si="35"/>
        <v>17110.5</v>
      </c>
      <c r="V206">
        <f t="shared" si="36"/>
        <v>8387</v>
      </c>
      <c r="W206">
        <f t="shared" si="37"/>
        <v>-16437.5</v>
      </c>
      <c r="X206">
        <f t="shared" si="38"/>
        <v>42271.5</v>
      </c>
    </row>
    <row r="207" spans="1:24" x14ac:dyDescent="0.35">
      <c r="A207" t="s">
        <v>117</v>
      </c>
      <c r="B207" t="s">
        <v>81</v>
      </c>
      <c r="C207">
        <v>11</v>
      </c>
      <c r="D207" t="s">
        <v>52</v>
      </c>
      <c r="E207" t="s">
        <v>64</v>
      </c>
      <c r="F207" t="s">
        <v>65</v>
      </c>
      <c r="G207" t="s">
        <v>53</v>
      </c>
      <c r="H207" t="s">
        <v>19</v>
      </c>
      <c r="I207" t="s">
        <v>55</v>
      </c>
      <c r="J207" t="s">
        <v>66</v>
      </c>
      <c r="K207" t="s">
        <v>41</v>
      </c>
      <c r="L207" t="s">
        <v>26</v>
      </c>
      <c r="M207">
        <v>3</v>
      </c>
      <c r="N207">
        <v>1</v>
      </c>
      <c r="O207" t="s">
        <v>36</v>
      </c>
      <c r="P207" t="s">
        <v>36</v>
      </c>
      <c r="Q207" t="s">
        <v>25</v>
      </c>
      <c r="R207">
        <v>23433</v>
      </c>
      <c r="S207" t="b">
        <f t="shared" si="33"/>
        <v>0</v>
      </c>
      <c r="T207">
        <f t="shared" si="34"/>
        <v>8723.5</v>
      </c>
      <c r="U207">
        <f t="shared" si="35"/>
        <v>17110.5</v>
      </c>
      <c r="V207">
        <f t="shared" si="36"/>
        <v>8387</v>
      </c>
      <c r="W207">
        <f t="shared" si="37"/>
        <v>-16437.5</v>
      </c>
      <c r="X207">
        <f t="shared" si="38"/>
        <v>42271.5</v>
      </c>
    </row>
    <row r="208" spans="1:24" x14ac:dyDescent="0.35">
      <c r="A208" t="s">
        <v>118</v>
      </c>
      <c r="B208" t="s">
        <v>84</v>
      </c>
      <c r="C208">
        <v>3</v>
      </c>
      <c r="D208" t="s">
        <v>15</v>
      </c>
      <c r="E208" t="s">
        <v>64</v>
      </c>
      <c r="F208" t="s">
        <v>65</v>
      </c>
      <c r="G208" t="s">
        <v>53</v>
      </c>
      <c r="H208" t="s">
        <v>82</v>
      </c>
      <c r="I208" t="s">
        <v>20</v>
      </c>
      <c r="J208" t="s">
        <v>83</v>
      </c>
      <c r="K208" t="s">
        <v>61</v>
      </c>
      <c r="L208" t="s">
        <v>26</v>
      </c>
      <c r="M208">
        <v>3</v>
      </c>
      <c r="N208">
        <v>1</v>
      </c>
      <c r="O208" t="s">
        <v>28</v>
      </c>
      <c r="P208" t="s">
        <v>28</v>
      </c>
      <c r="Q208" t="s">
        <v>25</v>
      </c>
      <c r="R208">
        <v>18240</v>
      </c>
      <c r="S208" t="b">
        <f t="shared" si="33"/>
        <v>0</v>
      </c>
      <c r="T208">
        <f t="shared" si="34"/>
        <v>8723.5</v>
      </c>
      <c r="U208">
        <f t="shared" si="35"/>
        <v>17110.5</v>
      </c>
      <c r="V208">
        <f t="shared" si="36"/>
        <v>8387</v>
      </c>
      <c r="W208">
        <f t="shared" si="37"/>
        <v>-16437.5</v>
      </c>
      <c r="X208">
        <f t="shared" si="38"/>
        <v>42271.5</v>
      </c>
    </row>
    <row r="209" spans="1:24" x14ac:dyDescent="0.35">
      <c r="A209" t="s">
        <v>118</v>
      </c>
      <c r="B209" t="s">
        <v>84</v>
      </c>
      <c r="C209">
        <v>11</v>
      </c>
      <c r="D209" t="s">
        <v>15</v>
      </c>
      <c r="E209" t="s">
        <v>64</v>
      </c>
      <c r="F209" t="s">
        <v>65</v>
      </c>
      <c r="G209" t="s">
        <v>53</v>
      </c>
      <c r="H209" t="s">
        <v>82</v>
      </c>
      <c r="I209" t="s">
        <v>20</v>
      </c>
      <c r="J209" t="s">
        <v>83</v>
      </c>
      <c r="K209" t="s">
        <v>61</v>
      </c>
      <c r="L209" t="s">
        <v>26</v>
      </c>
      <c r="M209">
        <v>3</v>
      </c>
      <c r="N209">
        <v>1</v>
      </c>
      <c r="O209" t="s">
        <v>36</v>
      </c>
      <c r="P209" t="s">
        <v>36</v>
      </c>
      <c r="Q209" t="s">
        <v>25</v>
      </c>
      <c r="R209">
        <v>15327</v>
      </c>
      <c r="S209" t="b">
        <f t="shared" si="33"/>
        <v>0</v>
      </c>
      <c r="T209">
        <f t="shared" si="34"/>
        <v>8723.5</v>
      </c>
      <c r="U209">
        <f t="shared" si="35"/>
        <v>17110.5</v>
      </c>
      <c r="V209">
        <f t="shared" si="36"/>
        <v>8387</v>
      </c>
      <c r="W209">
        <f t="shared" si="37"/>
        <v>-16437.5</v>
      </c>
      <c r="X209">
        <f t="shared" si="38"/>
        <v>42271.5</v>
      </c>
    </row>
    <row r="210" spans="1:24" x14ac:dyDescent="0.35">
      <c r="A210" t="s">
        <v>119</v>
      </c>
      <c r="B210" t="s">
        <v>87</v>
      </c>
      <c r="C210">
        <v>3</v>
      </c>
      <c r="D210" t="s">
        <v>52</v>
      </c>
      <c r="E210" t="s">
        <v>64</v>
      </c>
      <c r="F210" t="s">
        <v>65</v>
      </c>
      <c r="G210" t="s">
        <v>85</v>
      </c>
      <c r="H210" t="s">
        <v>54</v>
      </c>
      <c r="I210" t="s">
        <v>55</v>
      </c>
      <c r="J210" t="s">
        <v>21</v>
      </c>
      <c r="K210" t="s">
        <v>41</v>
      </c>
      <c r="L210" t="s">
        <v>26</v>
      </c>
      <c r="M210">
        <v>3</v>
      </c>
      <c r="N210">
        <v>1</v>
      </c>
      <c r="O210" t="s">
        <v>28</v>
      </c>
      <c r="P210" t="s">
        <v>28</v>
      </c>
      <c r="Q210" t="s">
        <v>25</v>
      </c>
      <c r="R210">
        <v>28574</v>
      </c>
      <c r="S210" t="b">
        <f t="shared" si="33"/>
        <v>0</v>
      </c>
      <c r="T210">
        <f t="shared" si="34"/>
        <v>8723.5</v>
      </c>
      <c r="U210">
        <f t="shared" si="35"/>
        <v>17110.5</v>
      </c>
      <c r="V210">
        <f t="shared" si="36"/>
        <v>8387</v>
      </c>
      <c r="W210">
        <f t="shared" si="37"/>
        <v>-16437.5</v>
      </c>
      <c r="X210">
        <f t="shared" si="38"/>
        <v>42271.5</v>
      </c>
    </row>
    <row r="211" spans="1:24" x14ac:dyDescent="0.35">
      <c r="A211" t="s">
        <v>119</v>
      </c>
      <c r="B211" t="s">
        <v>87</v>
      </c>
      <c r="C211">
        <v>11</v>
      </c>
      <c r="D211" t="s">
        <v>52</v>
      </c>
      <c r="E211" t="s">
        <v>64</v>
      </c>
      <c r="F211" t="s">
        <v>65</v>
      </c>
      <c r="G211" t="s">
        <v>85</v>
      </c>
      <c r="H211" t="s">
        <v>54</v>
      </c>
      <c r="I211" t="s">
        <v>55</v>
      </c>
      <c r="J211" t="s">
        <v>21</v>
      </c>
      <c r="K211" t="s">
        <v>41</v>
      </c>
      <c r="L211" t="s">
        <v>26</v>
      </c>
      <c r="M211">
        <v>3</v>
      </c>
      <c r="N211">
        <v>1</v>
      </c>
      <c r="O211" t="s">
        <v>36</v>
      </c>
      <c r="P211" t="s">
        <v>36</v>
      </c>
      <c r="Q211" t="s">
        <v>25</v>
      </c>
      <c r="R211">
        <v>24074</v>
      </c>
      <c r="S211" t="b">
        <f t="shared" si="33"/>
        <v>0</v>
      </c>
      <c r="T211">
        <f t="shared" si="34"/>
        <v>8723.5</v>
      </c>
      <c r="U211">
        <f t="shared" si="35"/>
        <v>17110.5</v>
      </c>
      <c r="V211">
        <f t="shared" si="36"/>
        <v>8387</v>
      </c>
      <c r="W211">
        <f t="shared" si="37"/>
        <v>-16437.5</v>
      </c>
      <c r="X211">
        <f t="shared" si="38"/>
        <v>42271.5</v>
      </c>
    </row>
    <row r="212" spans="1:24" x14ac:dyDescent="0.35">
      <c r="A212" t="s">
        <v>120</v>
      </c>
      <c r="B212" t="s">
        <v>90</v>
      </c>
      <c r="C212">
        <v>3</v>
      </c>
      <c r="D212" t="s">
        <v>40</v>
      </c>
      <c r="E212" t="s">
        <v>64</v>
      </c>
      <c r="F212" t="s">
        <v>65</v>
      </c>
      <c r="G212" t="s">
        <v>18</v>
      </c>
      <c r="H212" t="s">
        <v>19</v>
      </c>
      <c r="I212" t="s">
        <v>88</v>
      </c>
      <c r="J212" t="s">
        <v>89</v>
      </c>
      <c r="K212" t="s">
        <v>41</v>
      </c>
      <c r="L212" t="s">
        <v>26</v>
      </c>
      <c r="M212">
        <v>3</v>
      </c>
      <c r="N212">
        <v>1</v>
      </c>
      <c r="O212" t="s">
        <v>28</v>
      </c>
      <c r="P212" t="s">
        <v>28</v>
      </c>
      <c r="Q212" t="s">
        <v>25</v>
      </c>
      <c r="R212">
        <v>10886</v>
      </c>
      <c r="S212" t="b">
        <f t="shared" si="33"/>
        <v>0</v>
      </c>
      <c r="T212">
        <f t="shared" si="34"/>
        <v>8723.5</v>
      </c>
      <c r="U212">
        <f t="shared" si="35"/>
        <v>17110.5</v>
      </c>
      <c r="V212">
        <f t="shared" si="36"/>
        <v>8387</v>
      </c>
      <c r="W212">
        <f t="shared" si="37"/>
        <v>-16437.5</v>
      </c>
      <c r="X212">
        <f t="shared" si="38"/>
        <v>42271.5</v>
      </c>
    </row>
    <row r="213" spans="1:24" x14ac:dyDescent="0.35">
      <c r="A213" t="s">
        <v>120</v>
      </c>
      <c r="B213" t="s">
        <v>90</v>
      </c>
      <c r="C213">
        <v>11</v>
      </c>
      <c r="D213" t="s">
        <v>40</v>
      </c>
      <c r="E213" t="s">
        <v>64</v>
      </c>
      <c r="F213" t="s">
        <v>65</v>
      </c>
      <c r="G213" t="s">
        <v>18</v>
      </c>
      <c r="H213" t="s">
        <v>19</v>
      </c>
      <c r="I213" t="s">
        <v>88</v>
      </c>
      <c r="J213" t="s">
        <v>89</v>
      </c>
      <c r="K213" t="s">
        <v>41</v>
      </c>
      <c r="L213" t="s">
        <v>26</v>
      </c>
      <c r="M213">
        <v>3</v>
      </c>
      <c r="N213">
        <v>1</v>
      </c>
      <c r="O213" t="s">
        <v>36</v>
      </c>
      <c r="P213" t="s">
        <v>49</v>
      </c>
      <c r="Q213" t="s">
        <v>43</v>
      </c>
      <c r="R213">
        <v>13703</v>
      </c>
      <c r="S213" t="b">
        <f t="shared" si="33"/>
        <v>0</v>
      </c>
      <c r="T213">
        <f t="shared" si="34"/>
        <v>8723.5</v>
      </c>
      <c r="U213">
        <f t="shared" si="35"/>
        <v>17110.5</v>
      </c>
      <c r="V213">
        <f t="shared" si="36"/>
        <v>8387</v>
      </c>
      <c r="W213">
        <f t="shared" si="37"/>
        <v>-16437.5</v>
      </c>
      <c r="X213">
        <f t="shared" si="38"/>
        <v>42271.5</v>
      </c>
    </row>
    <row r="214" spans="1:24" x14ac:dyDescent="0.35">
      <c r="A214" t="s">
        <v>121</v>
      </c>
      <c r="B214" t="s">
        <v>91</v>
      </c>
      <c r="C214">
        <v>3</v>
      </c>
      <c r="D214" t="s">
        <v>15</v>
      </c>
      <c r="E214" t="s">
        <v>64</v>
      </c>
      <c r="F214" t="s">
        <v>65</v>
      </c>
      <c r="G214" t="s">
        <v>18</v>
      </c>
      <c r="H214" t="s">
        <v>68</v>
      </c>
      <c r="I214" t="s">
        <v>20</v>
      </c>
      <c r="J214" t="s">
        <v>66</v>
      </c>
      <c r="K214" t="s">
        <v>41</v>
      </c>
      <c r="L214" t="s">
        <v>26</v>
      </c>
      <c r="M214">
        <v>3</v>
      </c>
      <c r="N214">
        <v>1</v>
      </c>
      <c r="O214" t="s">
        <v>28</v>
      </c>
      <c r="P214" t="s">
        <v>28</v>
      </c>
      <c r="Q214" t="s">
        <v>25</v>
      </c>
      <c r="R214">
        <v>23110</v>
      </c>
      <c r="S214" t="b">
        <f t="shared" si="33"/>
        <v>0</v>
      </c>
      <c r="T214">
        <f t="shared" si="34"/>
        <v>8723.5</v>
      </c>
      <c r="U214">
        <f t="shared" si="35"/>
        <v>17110.5</v>
      </c>
      <c r="V214">
        <f t="shared" si="36"/>
        <v>8387</v>
      </c>
      <c r="W214">
        <f t="shared" si="37"/>
        <v>-16437.5</v>
      </c>
      <c r="X214">
        <f t="shared" si="38"/>
        <v>42271.5</v>
      </c>
    </row>
    <row r="215" spans="1:24" x14ac:dyDescent="0.35">
      <c r="A215" t="s">
        <v>121</v>
      </c>
      <c r="B215" t="s">
        <v>91</v>
      </c>
      <c r="C215">
        <v>11</v>
      </c>
      <c r="D215" t="s">
        <v>15</v>
      </c>
      <c r="E215" t="s">
        <v>64</v>
      </c>
      <c r="F215" t="s">
        <v>65</v>
      </c>
      <c r="G215" t="s">
        <v>18</v>
      </c>
      <c r="H215" t="s">
        <v>68</v>
      </c>
      <c r="I215" t="s">
        <v>20</v>
      </c>
      <c r="J215" t="s">
        <v>66</v>
      </c>
      <c r="K215" t="s">
        <v>41</v>
      </c>
      <c r="L215" t="s">
        <v>26</v>
      </c>
      <c r="M215">
        <v>3</v>
      </c>
      <c r="N215">
        <v>1</v>
      </c>
      <c r="O215" t="s">
        <v>36</v>
      </c>
      <c r="P215" t="s">
        <v>36</v>
      </c>
      <c r="Q215" t="s">
        <v>25</v>
      </c>
      <c r="R215">
        <v>6212</v>
      </c>
      <c r="S215" t="b">
        <f t="shared" si="33"/>
        <v>0</v>
      </c>
      <c r="T215">
        <f t="shared" si="34"/>
        <v>8723.5</v>
      </c>
      <c r="U215">
        <f t="shared" si="35"/>
        <v>17110.5</v>
      </c>
      <c r="V215">
        <f t="shared" si="36"/>
        <v>8387</v>
      </c>
      <c r="W215">
        <f t="shared" si="37"/>
        <v>-16437.5</v>
      </c>
      <c r="X215">
        <f t="shared" si="38"/>
        <v>42271.5</v>
      </c>
    </row>
    <row r="216" spans="1:24" x14ac:dyDescent="0.35">
      <c r="A216" t="s">
        <v>122</v>
      </c>
      <c r="B216" t="s">
        <v>92</v>
      </c>
      <c r="C216">
        <v>3</v>
      </c>
      <c r="D216" t="s">
        <v>40</v>
      </c>
      <c r="E216" t="s">
        <v>64</v>
      </c>
      <c r="F216" t="s">
        <v>65</v>
      </c>
      <c r="G216" t="s">
        <v>18</v>
      </c>
      <c r="H216" t="s">
        <v>54</v>
      </c>
      <c r="I216" t="s">
        <v>55</v>
      </c>
      <c r="J216" t="s">
        <v>78</v>
      </c>
      <c r="K216" t="s">
        <v>41</v>
      </c>
      <c r="L216" t="s">
        <v>26</v>
      </c>
      <c r="M216">
        <v>3</v>
      </c>
      <c r="N216">
        <v>1</v>
      </c>
      <c r="O216" t="s">
        <v>28</v>
      </c>
      <c r="P216" t="s">
        <v>28</v>
      </c>
      <c r="Q216" t="s">
        <v>25</v>
      </c>
      <c r="R216">
        <v>10415</v>
      </c>
      <c r="S216" t="b">
        <f t="shared" si="33"/>
        <v>0</v>
      </c>
      <c r="T216">
        <f t="shared" si="34"/>
        <v>8723.5</v>
      </c>
      <c r="U216">
        <f t="shared" si="35"/>
        <v>17110.5</v>
      </c>
      <c r="V216">
        <f t="shared" si="36"/>
        <v>8387</v>
      </c>
      <c r="W216">
        <f t="shared" si="37"/>
        <v>-16437.5</v>
      </c>
      <c r="X216">
        <f t="shared" si="38"/>
        <v>42271.5</v>
      </c>
    </row>
    <row r="217" spans="1:24" x14ac:dyDescent="0.35">
      <c r="A217" t="s">
        <v>122</v>
      </c>
      <c r="B217" t="s">
        <v>92</v>
      </c>
      <c r="C217">
        <v>11</v>
      </c>
      <c r="D217" t="s">
        <v>40</v>
      </c>
      <c r="E217" t="s">
        <v>64</v>
      </c>
      <c r="F217" t="s">
        <v>65</v>
      </c>
      <c r="G217" t="s">
        <v>18</v>
      </c>
      <c r="H217" t="s">
        <v>54</v>
      </c>
      <c r="I217" t="s">
        <v>55</v>
      </c>
      <c r="J217" t="s">
        <v>78</v>
      </c>
      <c r="K217" t="s">
        <v>41</v>
      </c>
      <c r="L217" t="s">
        <v>26</v>
      </c>
      <c r="M217">
        <v>3</v>
      </c>
      <c r="N217">
        <v>1</v>
      </c>
      <c r="O217" t="s">
        <v>36</v>
      </c>
      <c r="P217" t="s">
        <v>36</v>
      </c>
      <c r="Q217" t="s">
        <v>25</v>
      </c>
      <c r="R217">
        <v>11690</v>
      </c>
      <c r="S217" t="b">
        <f t="shared" si="33"/>
        <v>0</v>
      </c>
      <c r="T217">
        <f t="shared" si="34"/>
        <v>8723.5</v>
      </c>
      <c r="U217">
        <f t="shared" si="35"/>
        <v>17110.5</v>
      </c>
      <c r="V217">
        <f t="shared" si="36"/>
        <v>8387</v>
      </c>
      <c r="W217">
        <f t="shared" si="37"/>
        <v>-16437.5</v>
      </c>
      <c r="X217">
        <f t="shared" si="38"/>
        <v>42271.5</v>
      </c>
    </row>
    <row r="218" spans="1:24" x14ac:dyDescent="0.35">
      <c r="A218" t="s">
        <v>123</v>
      </c>
      <c r="B218" t="s">
        <v>94</v>
      </c>
      <c r="C218">
        <v>3</v>
      </c>
      <c r="D218" t="s">
        <v>40</v>
      </c>
      <c r="E218" t="s">
        <v>16</v>
      </c>
      <c r="F218" t="s">
        <v>17</v>
      </c>
      <c r="G218" t="s">
        <v>53</v>
      </c>
      <c r="H218" t="s">
        <v>54</v>
      </c>
      <c r="I218" t="s">
        <v>20</v>
      </c>
      <c r="J218" t="s">
        <v>21</v>
      </c>
      <c r="K218" t="s">
        <v>41</v>
      </c>
      <c r="L218" t="s">
        <v>26</v>
      </c>
      <c r="M218">
        <v>3</v>
      </c>
      <c r="N218">
        <v>1</v>
      </c>
      <c r="O218" t="s">
        <v>28</v>
      </c>
      <c r="P218" t="s">
        <v>28</v>
      </c>
      <c r="Q218" t="s">
        <v>25</v>
      </c>
      <c r="R218">
        <v>17263</v>
      </c>
      <c r="S218" t="b">
        <f t="shared" si="33"/>
        <v>0</v>
      </c>
      <c r="T218">
        <f t="shared" si="34"/>
        <v>8723.5</v>
      </c>
      <c r="U218">
        <f t="shared" si="35"/>
        <v>17110.5</v>
      </c>
      <c r="V218">
        <f t="shared" si="36"/>
        <v>8387</v>
      </c>
      <c r="W218">
        <f t="shared" si="37"/>
        <v>-16437.5</v>
      </c>
      <c r="X218">
        <f t="shared" si="38"/>
        <v>42271.5</v>
      </c>
    </row>
    <row r="219" spans="1:24" x14ac:dyDescent="0.35">
      <c r="A219" t="s">
        <v>123</v>
      </c>
      <c r="B219" t="s">
        <v>94</v>
      </c>
      <c r="C219">
        <v>11</v>
      </c>
      <c r="D219" t="s">
        <v>40</v>
      </c>
      <c r="E219" t="s">
        <v>16</v>
      </c>
      <c r="F219" t="s">
        <v>17</v>
      </c>
      <c r="G219" t="s">
        <v>53</v>
      </c>
      <c r="H219" t="s">
        <v>54</v>
      </c>
      <c r="I219" t="s">
        <v>20</v>
      </c>
      <c r="J219" t="s">
        <v>21</v>
      </c>
      <c r="K219" t="s">
        <v>41</v>
      </c>
      <c r="L219" t="s">
        <v>26</v>
      </c>
      <c r="M219">
        <v>3</v>
      </c>
      <c r="N219">
        <v>1</v>
      </c>
      <c r="O219" t="s">
        <v>36</v>
      </c>
      <c r="P219" t="s">
        <v>36</v>
      </c>
      <c r="Q219" t="s">
        <v>25</v>
      </c>
      <c r="R219">
        <v>15337</v>
      </c>
      <c r="S219" t="b">
        <f t="shared" si="33"/>
        <v>0</v>
      </c>
      <c r="T219">
        <f t="shared" si="34"/>
        <v>8723.5</v>
      </c>
      <c r="U219">
        <f t="shared" si="35"/>
        <v>17110.5</v>
      </c>
      <c r="V219">
        <f t="shared" si="36"/>
        <v>8387</v>
      </c>
      <c r="W219">
        <f t="shared" si="37"/>
        <v>-16437.5</v>
      </c>
      <c r="X219">
        <f t="shared" si="38"/>
        <v>42271.5</v>
      </c>
    </row>
    <row r="220" spans="1:24" x14ac:dyDescent="0.35">
      <c r="A220" t="s">
        <v>124</v>
      </c>
      <c r="B220" t="s">
        <v>101</v>
      </c>
      <c r="C220">
        <v>3</v>
      </c>
      <c r="D220" t="s">
        <v>15</v>
      </c>
      <c r="E220" t="s">
        <v>64</v>
      </c>
      <c r="F220" t="s">
        <v>65</v>
      </c>
      <c r="G220" t="s">
        <v>53</v>
      </c>
      <c r="H220" t="s">
        <v>82</v>
      </c>
      <c r="I220" t="s">
        <v>55</v>
      </c>
      <c r="J220" t="s">
        <v>83</v>
      </c>
      <c r="K220" t="s">
        <v>22</v>
      </c>
      <c r="L220" t="s">
        <v>26</v>
      </c>
      <c r="M220">
        <v>3</v>
      </c>
      <c r="N220">
        <v>1</v>
      </c>
      <c r="O220" t="s">
        <v>28</v>
      </c>
      <c r="P220" t="s">
        <v>28</v>
      </c>
      <c r="Q220" t="s">
        <v>25</v>
      </c>
      <c r="R220">
        <v>14114</v>
      </c>
      <c r="S220" t="b">
        <f>OR(R220&lt;W220,R220&gt;X220)</f>
        <v>0</v>
      </c>
      <c r="T220">
        <f t="shared" si="34"/>
        <v>8723.5</v>
      </c>
      <c r="U220">
        <f t="shared" si="35"/>
        <v>17110.5</v>
      </c>
      <c r="V220">
        <f t="shared" si="36"/>
        <v>8387</v>
      </c>
      <c r="W220">
        <f t="shared" si="37"/>
        <v>-16437.5</v>
      </c>
      <c r="X220">
        <f t="shared" si="38"/>
        <v>42271.5</v>
      </c>
    </row>
    <row r="221" spans="1:24" x14ac:dyDescent="0.35">
      <c r="A221" t="s">
        <v>124</v>
      </c>
      <c r="B221" t="s">
        <v>101</v>
      </c>
      <c r="C221">
        <v>11</v>
      </c>
      <c r="D221" t="s">
        <v>15</v>
      </c>
      <c r="E221" t="s">
        <v>64</v>
      </c>
      <c r="F221" t="s">
        <v>65</v>
      </c>
      <c r="G221" t="s">
        <v>53</v>
      </c>
      <c r="H221" t="s">
        <v>82</v>
      </c>
      <c r="I221" t="s">
        <v>55</v>
      </c>
      <c r="J221" t="s">
        <v>83</v>
      </c>
      <c r="K221" t="s">
        <v>22</v>
      </c>
      <c r="L221" t="s">
        <v>26</v>
      </c>
      <c r="M221">
        <v>3</v>
      </c>
      <c r="N221">
        <v>1</v>
      </c>
      <c r="O221" t="s">
        <v>36</v>
      </c>
      <c r="P221" t="s">
        <v>36</v>
      </c>
      <c r="Q221" t="s">
        <v>25</v>
      </c>
      <c r="R221">
        <v>10182</v>
      </c>
      <c r="S221" t="b">
        <f t="shared" ref="S221" si="39">OR(R221&lt;W221,R221&gt;X221)</f>
        <v>0</v>
      </c>
      <c r="T221">
        <f t="shared" si="34"/>
        <v>8723.5</v>
      </c>
      <c r="U221">
        <f t="shared" si="35"/>
        <v>17110.5</v>
      </c>
      <c r="V221">
        <f t="shared" si="36"/>
        <v>8387</v>
      </c>
      <c r="W221">
        <f t="shared" si="37"/>
        <v>-16437.5</v>
      </c>
      <c r="X221">
        <f t="shared" si="38"/>
        <v>42271.5</v>
      </c>
    </row>
    <row r="222" spans="1:24" x14ac:dyDescent="0.35">
      <c r="A222" t="s">
        <v>103</v>
      </c>
      <c r="B222" t="s">
        <v>39</v>
      </c>
      <c r="C222">
        <v>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t="s">
        <v>22</v>
      </c>
      <c r="L222" t="s">
        <v>26</v>
      </c>
      <c r="M222">
        <v>5</v>
      </c>
      <c r="N222">
        <v>1</v>
      </c>
      <c r="O222" t="s">
        <v>27</v>
      </c>
      <c r="P222" t="s">
        <v>27</v>
      </c>
      <c r="Q222" t="s">
        <v>25</v>
      </c>
      <c r="R222">
        <v>29205</v>
      </c>
      <c r="S222" t="b">
        <f>OR(R222&lt;W222,R222&gt;X222)</f>
        <v>0</v>
      </c>
      <c r="T222">
        <f>_xlfn.PERCENTILE.INC(R222:R263,0.25)</f>
        <v>11778.5</v>
      </c>
      <c r="U222">
        <f>_xlfn.PERCENTILE.INC(R222:R263,0.75)</f>
        <v>28775.75</v>
      </c>
      <c r="V222">
        <f>U222-T222</f>
        <v>16997.25</v>
      </c>
      <c r="W222">
        <f>T222-(3*V222)</f>
        <v>-39213.25</v>
      </c>
      <c r="X222">
        <f>U222+(3*V222)</f>
        <v>79767.5</v>
      </c>
    </row>
    <row r="223" spans="1:24" x14ac:dyDescent="0.35">
      <c r="A223" t="s">
        <v>103</v>
      </c>
      <c r="B223" t="s">
        <v>39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t="s">
        <v>22</v>
      </c>
      <c r="L223" t="s">
        <v>26</v>
      </c>
      <c r="M223">
        <v>5</v>
      </c>
      <c r="N223">
        <v>1</v>
      </c>
      <c r="O223" t="s">
        <v>30</v>
      </c>
      <c r="P223" t="s">
        <v>30</v>
      </c>
      <c r="Q223" t="s">
        <v>25</v>
      </c>
      <c r="R223">
        <v>29246</v>
      </c>
      <c r="S223" t="b">
        <f t="shared" ref="S223:S263" si="40">OR(R223&lt;W223,R223&gt;X223)</f>
        <v>0</v>
      </c>
      <c r="T223">
        <f>T222</f>
        <v>11778.5</v>
      </c>
      <c r="U223">
        <f>U222</f>
        <v>28775.75</v>
      </c>
      <c r="V223">
        <f>V222</f>
        <v>16997.25</v>
      </c>
      <c r="W223">
        <f>W222</f>
        <v>-39213.25</v>
      </c>
      <c r="X223">
        <f>X222</f>
        <v>79767.5</v>
      </c>
    </row>
    <row r="224" spans="1:24" x14ac:dyDescent="0.35">
      <c r="A224" t="s">
        <v>104</v>
      </c>
      <c r="B224" t="s">
        <v>51</v>
      </c>
      <c r="C224">
        <v>2</v>
      </c>
      <c r="D224" t="s">
        <v>40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41</v>
      </c>
      <c r="L224" t="s">
        <v>26</v>
      </c>
      <c r="M224">
        <v>5</v>
      </c>
      <c r="N224">
        <v>1</v>
      </c>
      <c r="O224" t="s">
        <v>27</v>
      </c>
      <c r="P224" t="s">
        <v>44</v>
      </c>
      <c r="Q224" t="s">
        <v>43</v>
      </c>
      <c r="R224">
        <v>7672</v>
      </c>
      <c r="S224" t="b">
        <f t="shared" si="40"/>
        <v>0</v>
      </c>
      <c r="T224">
        <f t="shared" ref="T224:T265" si="41">T223</f>
        <v>11778.5</v>
      </c>
      <c r="U224">
        <f t="shared" ref="U224:U265" si="42">U223</f>
        <v>28775.75</v>
      </c>
      <c r="V224">
        <f t="shared" ref="V224:V265" si="43">V223</f>
        <v>16997.25</v>
      </c>
      <c r="W224">
        <f t="shared" ref="W224:W265" si="44">W223</f>
        <v>-39213.25</v>
      </c>
      <c r="X224">
        <f t="shared" ref="X224:X265" si="45">X223</f>
        <v>79767.5</v>
      </c>
    </row>
    <row r="225" spans="1:24" x14ac:dyDescent="0.35">
      <c r="A225" t="s">
        <v>104</v>
      </c>
      <c r="B225" t="s">
        <v>51</v>
      </c>
      <c r="C225">
        <v>5</v>
      </c>
      <c r="D225" t="s">
        <v>40</v>
      </c>
      <c r="E225" t="s">
        <v>16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41</v>
      </c>
      <c r="L225" t="s">
        <v>26</v>
      </c>
      <c r="M225">
        <v>5</v>
      </c>
      <c r="N225">
        <v>1</v>
      </c>
      <c r="O225" t="s">
        <v>30</v>
      </c>
      <c r="P225" t="s">
        <v>46</v>
      </c>
      <c r="Q225" t="s">
        <v>43</v>
      </c>
      <c r="R225">
        <v>7836</v>
      </c>
      <c r="S225" t="b">
        <f t="shared" si="40"/>
        <v>0</v>
      </c>
      <c r="T225">
        <f t="shared" si="41"/>
        <v>11778.5</v>
      </c>
      <c r="U225">
        <f t="shared" si="42"/>
        <v>28775.75</v>
      </c>
      <c r="V225">
        <f t="shared" si="43"/>
        <v>16997.25</v>
      </c>
      <c r="W225">
        <f t="shared" si="44"/>
        <v>-39213.25</v>
      </c>
      <c r="X225">
        <f t="shared" si="45"/>
        <v>79767.5</v>
      </c>
    </row>
    <row r="226" spans="1:24" x14ac:dyDescent="0.35">
      <c r="A226" t="s">
        <v>105</v>
      </c>
      <c r="B226" t="s">
        <v>58</v>
      </c>
      <c r="C226">
        <v>2</v>
      </c>
      <c r="D226" t="s">
        <v>52</v>
      </c>
      <c r="E226" t="s">
        <v>16</v>
      </c>
      <c r="F226" t="s">
        <v>17</v>
      </c>
      <c r="G226" t="s">
        <v>53</v>
      </c>
      <c r="H226" t="s">
        <v>54</v>
      </c>
      <c r="I226" t="s">
        <v>55</v>
      </c>
      <c r="J226" t="s">
        <v>56</v>
      </c>
      <c r="K226" t="s">
        <v>22</v>
      </c>
      <c r="L226" t="s">
        <v>26</v>
      </c>
      <c r="M226">
        <v>5</v>
      </c>
      <c r="N226">
        <v>1</v>
      </c>
      <c r="O226" t="s">
        <v>27</v>
      </c>
      <c r="P226" t="s">
        <v>57</v>
      </c>
      <c r="Q226" t="s">
        <v>43</v>
      </c>
      <c r="R226">
        <v>30320</v>
      </c>
      <c r="S226" t="b">
        <f t="shared" si="40"/>
        <v>0</v>
      </c>
      <c r="T226">
        <f t="shared" si="41"/>
        <v>11778.5</v>
      </c>
      <c r="U226">
        <f t="shared" si="42"/>
        <v>28775.75</v>
      </c>
      <c r="V226">
        <f t="shared" si="43"/>
        <v>16997.25</v>
      </c>
      <c r="W226">
        <f t="shared" si="44"/>
        <v>-39213.25</v>
      </c>
      <c r="X226">
        <f t="shared" si="45"/>
        <v>79767.5</v>
      </c>
    </row>
    <row r="227" spans="1:24" x14ac:dyDescent="0.35">
      <c r="A227" t="s">
        <v>105</v>
      </c>
      <c r="B227" t="s">
        <v>58</v>
      </c>
      <c r="C227">
        <v>5</v>
      </c>
      <c r="D227" t="s">
        <v>52</v>
      </c>
      <c r="E227" t="s">
        <v>16</v>
      </c>
      <c r="F227" t="s">
        <v>17</v>
      </c>
      <c r="G227" t="s">
        <v>53</v>
      </c>
      <c r="H227" t="s">
        <v>54</v>
      </c>
      <c r="I227" t="s">
        <v>55</v>
      </c>
      <c r="J227" t="s">
        <v>56</v>
      </c>
      <c r="K227" t="s">
        <v>22</v>
      </c>
      <c r="L227" t="s">
        <v>26</v>
      </c>
      <c r="M227">
        <v>5</v>
      </c>
      <c r="N227">
        <v>1</v>
      </c>
      <c r="O227" t="s">
        <v>30</v>
      </c>
      <c r="P227" t="s">
        <v>30</v>
      </c>
      <c r="Q227" t="s">
        <v>25</v>
      </c>
      <c r="R227">
        <v>18294</v>
      </c>
      <c r="S227" t="b">
        <f t="shared" si="40"/>
        <v>0</v>
      </c>
      <c r="T227">
        <f t="shared" si="41"/>
        <v>11778.5</v>
      </c>
      <c r="U227">
        <f t="shared" si="42"/>
        <v>28775.75</v>
      </c>
      <c r="V227">
        <f t="shared" si="43"/>
        <v>16997.25</v>
      </c>
      <c r="W227">
        <f t="shared" si="44"/>
        <v>-39213.25</v>
      </c>
      <c r="X227">
        <f t="shared" si="45"/>
        <v>79767.5</v>
      </c>
    </row>
    <row r="228" spans="1:24" x14ac:dyDescent="0.35">
      <c r="A228" t="s">
        <v>106</v>
      </c>
      <c r="B228" t="s">
        <v>60</v>
      </c>
      <c r="C228">
        <v>2</v>
      </c>
      <c r="D228" t="s">
        <v>59</v>
      </c>
      <c r="E228" t="s">
        <v>16</v>
      </c>
      <c r="F228" t="s">
        <v>17</v>
      </c>
      <c r="G228" t="s">
        <v>18</v>
      </c>
      <c r="H228" t="s">
        <v>54</v>
      </c>
      <c r="I228" t="s">
        <v>55</v>
      </c>
      <c r="J228" t="s">
        <v>21</v>
      </c>
      <c r="K228" t="s">
        <v>22</v>
      </c>
      <c r="L228" t="s">
        <v>26</v>
      </c>
      <c r="M228">
        <v>5</v>
      </c>
      <c r="N228">
        <v>1</v>
      </c>
      <c r="O228" t="s">
        <v>27</v>
      </c>
      <c r="P228" t="s">
        <v>27</v>
      </c>
      <c r="Q228" t="s">
        <v>25</v>
      </c>
      <c r="R228">
        <v>21373</v>
      </c>
      <c r="S228" t="b">
        <f t="shared" si="40"/>
        <v>0</v>
      </c>
      <c r="T228">
        <f t="shared" si="41"/>
        <v>11778.5</v>
      </c>
      <c r="U228">
        <f t="shared" si="42"/>
        <v>28775.75</v>
      </c>
      <c r="V228">
        <f t="shared" si="43"/>
        <v>16997.25</v>
      </c>
      <c r="W228">
        <f t="shared" si="44"/>
        <v>-39213.25</v>
      </c>
      <c r="X228">
        <f t="shared" si="45"/>
        <v>79767.5</v>
      </c>
    </row>
    <row r="229" spans="1:24" x14ac:dyDescent="0.35">
      <c r="A229" t="s">
        <v>106</v>
      </c>
      <c r="B229" t="s">
        <v>60</v>
      </c>
      <c r="C229">
        <v>5</v>
      </c>
      <c r="D229" t="s">
        <v>59</v>
      </c>
      <c r="E229" t="s">
        <v>16</v>
      </c>
      <c r="F229" t="s">
        <v>17</v>
      </c>
      <c r="G229" t="s">
        <v>18</v>
      </c>
      <c r="H229" t="s">
        <v>54</v>
      </c>
      <c r="I229" t="s">
        <v>55</v>
      </c>
      <c r="J229" t="s">
        <v>21</v>
      </c>
      <c r="K229" t="s">
        <v>22</v>
      </c>
      <c r="L229" t="s">
        <v>26</v>
      </c>
      <c r="M229">
        <v>5</v>
      </c>
      <c r="N229">
        <v>1</v>
      </c>
      <c r="O229" t="s">
        <v>30</v>
      </c>
      <c r="P229" t="s">
        <v>30</v>
      </c>
      <c r="Q229" t="s">
        <v>25</v>
      </c>
      <c r="R229">
        <v>21126</v>
      </c>
      <c r="S229" t="b">
        <f t="shared" si="40"/>
        <v>0</v>
      </c>
      <c r="T229">
        <f t="shared" si="41"/>
        <v>11778.5</v>
      </c>
      <c r="U229">
        <f t="shared" si="42"/>
        <v>28775.75</v>
      </c>
      <c r="V229">
        <f t="shared" si="43"/>
        <v>16997.25</v>
      </c>
      <c r="W229">
        <f t="shared" si="44"/>
        <v>-39213.25</v>
      </c>
      <c r="X229">
        <f t="shared" si="45"/>
        <v>79767.5</v>
      </c>
    </row>
    <row r="230" spans="1:24" x14ac:dyDescent="0.35">
      <c r="A230" t="s">
        <v>107</v>
      </c>
      <c r="B230" t="s">
        <v>62</v>
      </c>
      <c r="C230">
        <v>2</v>
      </c>
      <c r="D230" t="s">
        <v>15</v>
      </c>
      <c r="E230" t="s">
        <v>16</v>
      </c>
      <c r="F230" t="s">
        <v>17</v>
      </c>
      <c r="G230" t="s">
        <v>53</v>
      </c>
      <c r="H230" t="s">
        <v>72</v>
      </c>
      <c r="I230" t="s">
        <v>20</v>
      </c>
      <c r="J230" t="s">
        <v>21</v>
      </c>
      <c r="K230" t="s">
        <v>41</v>
      </c>
      <c r="L230" t="s">
        <v>26</v>
      </c>
      <c r="M230">
        <v>5</v>
      </c>
      <c r="N230">
        <v>1</v>
      </c>
      <c r="O230" t="s">
        <v>27</v>
      </c>
      <c r="P230" t="s">
        <v>57</v>
      </c>
      <c r="Q230" t="s">
        <v>43</v>
      </c>
      <c r="R230">
        <v>32145</v>
      </c>
      <c r="S230" t="b">
        <f t="shared" si="40"/>
        <v>0</v>
      </c>
      <c r="T230">
        <f t="shared" si="41"/>
        <v>11778.5</v>
      </c>
      <c r="U230">
        <f t="shared" si="42"/>
        <v>28775.75</v>
      </c>
      <c r="V230">
        <f t="shared" si="43"/>
        <v>16997.25</v>
      </c>
      <c r="W230">
        <f t="shared" si="44"/>
        <v>-39213.25</v>
      </c>
      <c r="X230">
        <f t="shared" si="45"/>
        <v>79767.5</v>
      </c>
    </row>
    <row r="231" spans="1:24" x14ac:dyDescent="0.35">
      <c r="A231" t="s">
        <v>107</v>
      </c>
      <c r="B231" t="s">
        <v>62</v>
      </c>
      <c r="C231">
        <v>5</v>
      </c>
      <c r="D231" t="s">
        <v>15</v>
      </c>
      <c r="E231" t="s">
        <v>16</v>
      </c>
      <c r="F231" t="s">
        <v>17</v>
      </c>
      <c r="G231" t="s">
        <v>53</v>
      </c>
      <c r="H231" t="s">
        <v>72</v>
      </c>
      <c r="I231" t="s">
        <v>20</v>
      </c>
      <c r="J231" t="s">
        <v>21</v>
      </c>
      <c r="K231" t="s">
        <v>41</v>
      </c>
      <c r="L231" t="s">
        <v>26</v>
      </c>
      <c r="M231">
        <v>5</v>
      </c>
      <c r="N231">
        <v>1</v>
      </c>
      <c r="O231" t="s">
        <v>30</v>
      </c>
      <c r="P231" t="s">
        <v>30</v>
      </c>
      <c r="Q231" t="s">
        <v>25</v>
      </c>
      <c r="R231">
        <v>21425</v>
      </c>
      <c r="S231" t="b">
        <f t="shared" si="40"/>
        <v>0</v>
      </c>
      <c r="T231">
        <f t="shared" si="41"/>
        <v>11778.5</v>
      </c>
      <c r="U231">
        <f t="shared" si="42"/>
        <v>28775.75</v>
      </c>
      <c r="V231">
        <f t="shared" si="43"/>
        <v>16997.25</v>
      </c>
      <c r="W231">
        <f t="shared" si="44"/>
        <v>-39213.25</v>
      </c>
      <c r="X231">
        <f t="shared" si="45"/>
        <v>79767.5</v>
      </c>
    </row>
    <row r="232" spans="1:24" x14ac:dyDescent="0.35">
      <c r="A232" t="s">
        <v>108</v>
      </c>
      <c r="B232" t="s">
        <v>63</v>
      </c>
      <c r="C232">
        <v>2</v>
      </c>
      <c r="D232" t="s">
        <v>52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56</v>
      </c>
      <c r="K232" t="s">
        <v>61</v>
      </c>
      <c r="L232" t="s">
        <v>26</v>
      </c>
      <c r="M232">
        <v>5</v>
      </c>
      <c r="N232">
        <v>1</v>
      </c>
      <c r="O232" t="s">
        <v>27</v>
      </c>
      <c r="P232" t="s">
        <v>27</v>
      </c>
      <c r="Q232" t="s">
        <v>25</v>
      </c>
      <c r="R232">
        <v>15187</v>
      </c>
      <c r="S232" t="b">
        <f t="shared" si="40"/>
        <v>0</v>
      </c>
      <c r="T232">
        <f t="shared" si="41"/>
        <v>11778.5</v>
      </c>
      <c r="U232">
        <f t="shared" si="42"/>
        <v>28775.75</v>
      </c>
      <c r="V232">
        <f t="shared" si="43"/>
        <v>16997.25</v>
      </c>
      <c r="W232">
        <f t="shared" si="44"/>
        <v>-39213.25</v>
      </c>
      <c r="X232">
        <f t="shared" si="45"/>
        <v>79767.5</v>
      </c>
    </row>
    <row r="233" spans="1:24" x14ac:dyDescent="0.35">
      <c r="A233" t="s">
        <v>108</v>
      </c>
      <c r="B233" t="s">
        <v>63</v>
      </c>
      <c r="C233">
        <v>5</v>
      </c>
      <c r="D233" t="s">
        <v>52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56</v>
      </c>
      <c r="K233" t="s">
        <v>61</v>
      </c>
      <c r="L233" t="s">
        <v>26</v>
      </c>
      <c r="M233">
        <v>5</v>
      </c>
      <c r="N233">
        <v>1</v>
      </c>
      <c r="O233" t="s">
        <v>30</v>
      </c>
      <c r="P233" t="s">
        <v>30</v>
      </c>
      <c r="Q233" t="s">
        <v>25</v>
      </c>
      <c r="R233">
        <v>12479</v>
      </c>
      <c r="S233" t="b">
        <f t="shared" si="40"/>
        <v>0</v>
      </c>
      <c r="T233">
        <f t="shared" si="41"/>
        <v>11778.5</v>
      </c>
      <c r="U233">
        <f t="shared" si="42"/>
        <v>28775.75</v>
      </c>
      <c r="V233">
        <f t="shared" si="43"/>
        <v>16997.25</v>
      </c>
      <c r="W233">
        <f t="shared" si="44"/>
        <v>-39213.25</v>
      </c>
      <c r="X233">
        <f t="shared" si="45"/>
        <v>79767.5</v>
      </c>
    </row>
    <row r="234" spans="1:24" x14ac:dyDescent="0.35">
      <c r="A234" t="s">
        <v>109</v>
      </c>
      <c r="B234" t="s">
        <v>71</v>
      </c>
      <c r="C234">
        <v>2</v>
      </c>
      <c r="D234" t="s">
        <v>15</v>
      </c>
      <c r="E234" t="s">
        <v>16</v>
      </c>
      <c r="F234" t="s">
        <v>17</v>
      </c>
      <c r="G234" t="s">
        <v>53</v>
      </c>
      <c r="H234" t="s">
        <v>54</v>
      </c>
      <c r="I234" t="s">
        <v>20</v>
      </c>
      <c r="J234" t="s">
        <v>21</v>
      </c>
      <c r="K234" t="s">
        <v>41</v>
      </c>
      <c r="L234" t="s">
        <v>26</v>
      </c>
      <c r="M234">
        <v>5</v>
      </c>
      <c r="N234">
        <v>1</v>
      </c>
      <c r="O234" t="s">
        <v>27</v>
      </c>
      <c r="P234" t="s">
        <v>27</v>
      </c>
      <c r="Q234" t="s">
        <v>25</v>
      </c>
      <c r="R234">
        <v>10390</v>
      </c>
      <c r="S234" t="b">
        <f t="shared" si="40"/>
        <v>0</v>
      </c>
      <c r="T234">
        <f t="shared" si="41"/>
        <v>11778.5</v>
      </c>
      <c r="U234">
        <f t="shared" si="42"/>
        <v>28775.75</v>
      </c>
      <c r="V234">
        <f t="shared" si="43"/>
        <v>16997.25</v>
      </c>
      <c r="W234">
        <f t="shared" si="44"/>
        <v>-39213.25</v>
      </c>
      <c r="X234">
        <f t="shared" si="45"/>
        <v>79767.5</v>
      </c>
    </row>
    <row r="235" spans="1:24" x14ac:dyDescent="0.35">
      <c r="A235" t="s">
        <v>109</v>
      </c>
      <c r="B235" t="s">
        <v>71</v>
      </c>
      <c r="C235">
        <v>5</v>
      </c>
      <c r="D235" t="s">
        <v>15</v>
      </c>
      <c r="E235" t="s">
        <v>16</v>
      </c>
      <c r="F235" t="s">
        <v>17</v>
      </c>
      <c r="G235" t="s">
        <v>53</v>
      </c>
      <c r="H235" t="s">
        <v>54</v>
      </c>
      <c r="I235" t="s">
        <v>20</v>
      </c>
      <c r="J235" t="s">
        <v>21</v>
      </c>
      <c r="K235" t="s">
        <v>41</v>
      </c>
      <c r="L235" t="s">
        <v>26</v>
      </c>
      <c r="M235">
        <v>5</v>
      </c>
      <c r="N235">
        <v>1</v>
      </c>
      <c r="O235" t="s">
        <v>30</v>
      </c>
      <c r="P235" t="s">
        <v>30</v>
      </c>
      <c r="Q235" t="s">
        <v>25</v>
      </c>
      <c r="R235">
        <v>10417</v>
      </c>
      <c r="S235" t="b">
        <f t="shared" si="40"/>
        <v>0</v>
      </c>
      <c r="T235">
        <f t="shared" si="41"/>
        <v>11778.5</v>
      </c>
      <c r="U235">
        <f t="shared" si="42"/>
        <v>28775.75</v>
      </c>
      <c r="V235">
        <f t="shared" si="43"/>
        <v>16997.25</v>
      </c>
      <c r="W235">
        <f t="shared" si="44"/>
        <v>-39213.25</v>
      </c>
      <c r="X235">
        <f t="shared" si="45"/>
        <v>79767.5</v>
      </c>
    </row>
    <row r="236" spans="1:24" x14ac:dyDescent="0.35">
      <c r="A236" t="s">
        <v>110</v>
      </c>
      <c r="B236" t="s">
        <v>69</v>
      </c>
      <c r="C236">
        <v>2</v>
      </c>
      <c r="D236" t="s">
        <v>40</v>
      </c>
      <c r="E236" t="s">
        <v>64</v>
      </c>
      <c r="F236" t="s">
        <v>65</v>
      </c>
      <c r="G236" t="s">
        <v>53</v>
      </c>
      <c r="H236" t="s">
        <v>54</v>
      </c>
      <c r="I236" t="s">
        <v>20</v>
      </c>
      <c r="J236" t="s">
        <v>66</v>
      </c>
      <c r="K236" t="s">
        <v>41</v>
      </c>
      <c r="L236" t="s">
        <v>26</v>
      </c>
      <c r="M236">
        <v>5</v>
      </c>
      <c r="N236">
        <v>1</v>
      </c>
      <c r="O236" t="s">
        <v>27</v>
      </c>
      <c r="P236" t="s">
        <v>67</v>
      </c>
      <c r="Q236" t="s">
        <v>43</v>
      </c>
      <c r="R236">
        <v>27488</v>
      </c>
      <c r="S236" t="b">
        <f t="shared" si="40"/>
        <v>0</v>
      </c>
      <c r="T236">
        <f t="shared" si="41"/>
        <v>11778.5</v>
      </c>
      <c r="U236">
        <f t="shared" si="42"/>
        <v>28775.75</v>
      </c>
      <c r="V236">
        <f t="shared" si="43"/>
        <v>16997.25</v>
      </c>
      <c r="W236">
        <f t="shared" si="44"/>
        <v>-39213.25</v>
      </c>
      <c r="X236">
        <f t="shared" si="45"/>
        <v>79767.5</v>
      </c>
    </row>
    <row r="237" spans="1:24" x14ac:dyDescent="0.35">
      <c r="A237" t="s">
        <v>110</v>
      </c>
      <c r="B237" t="s">
        <v>69</v>
      </c>
      <c r="C237">
        <v>5</v>
      </c>
      <c r="D237" t="s">
        <v>40</v>
      </c>
      <c r="E237" t="s">
        <v>64</v>
      </c>
      <c r="F237" t="s">
        <v>65</v>
      </c>
      <c r="G237" t="s">
        <v>53</v>
      </c>
      <c r="H237" t="s">
        <v>54</v>
      </c>
      <c r="I237" t="s">
        <v>20</v>
      </c>
      <c r="J237" t="s">
        <v>66</v>
      </c>
      <c r="K237" t="s">
        <v>41</v>
      </c>
      <c r="L237" t="s">
        <v>26</v>
      </c>
      <c r="M237">
        <v>5</v>
      </c>
      <c r="N237">
        <v>1</v>
      </c>
      <c r="O237" t="s">
        <v>30</v>
      </c>
      <c r="P237" t="s">
        <v>30</v>
      </c>
      <c r="Q237" t="s">
        <v>25</v>
      </c>
      <c r="R237">
        <v>23167</v>
      </c>
      <c r="S237" t="b">
        <f t="shared" si="40"/>
        <v>0</v>
      </c>
      <c r="T237">
        <f t="shared" si="41"/>
        <v>11778.5</v>
      </c>
      <c r="U237">
        <f t="shared" si="42"/>
        <v>28775.75</v>
      </c>
      <c r="V237">
        <f t="shared" si="43"/>
        <v>16997.25</v>
      </c>
      <c r="W237">
        <f t="shared" si="44"/>
        <v>-39213.25</v>
      </c>
      <c r="X237">
        <f t="shared" si="45"/>
        <v>79767.5</v>
      </c>
    </row>
    <row r="238" spans="1:24" x14ac:dyDescent="0.35">
      <c r="A238" t="s">
        <v>111</v>
      </c>
      <c r="B238" t="s">
        <v>70</v>
      </c>
      <c r="C238">
        <v>2</v>
      </c>
      <c r="D238" t="s">
        <v>52</v>
      </c>
      <c r="E238" t="s">
        <v>64</v>
      </c>
      <c r="F238" t="s">
        <v>65</v>
      </c>
      <c r="G238" t="s">
        <v>53</v>
      </c>
      <c r="H238" t="s">
        <v>68</v>
      </c>
      <c r="I238" t="s">
        <v>20</v>
      </c>
      <c r="J238" t="s">
        <v>21</v>
      </c>
      <c r="K238" t="s">
        <v>41</v>
      </c>
      <c r="L238" t="s">
        <v>26</v>
      </c>
      <c r="M238">
        <v>5</v>
      </c>
      <c r="N238">
        <v>1</v>
      </c>
      <c r="O238" t="s">
        <v>27</v>
      </c>
      <c r="P238" t="s">
        <v>27</v>
      </c>
      <c r="Q238" t="s">
        <v>25</v>
      </c>
      <c r="R238">
        <v>44213</v>
      </c>
      <c r="S238" t="b">
        <f t="shared" si="40"/>
        <v>0</v>
      </c>
      <c r="T238">
        <f t="shared" si="41"/>
        <v>11778.5</v>
      </c>
      <c r="U238">
        <f t="shared" si="42"/>
        <v>28775.75</v>
      </c>
      <c r="V238">
        <f t="shared" si="43"/>
        <v>16997.25</v>
      </c>
      <c r="W238">
        <f t="shared" si="44"/>
        <v>-39213.25</v>
      </c>
      <c r="X238">
        <f t="shared" si="45"/>
        <v>79767.5</v>
      </c>
    </row>
    <row r="239" spans="1:24" x14ac:dyDescent="0.35">
      <c r="A239" t="s">
        <v>111</v>
      </c>
      <c r="B239" t="s">
        <v>70</v>
      </c>
      <c r="C239">
        <v>5</v>
      </c>
      <c r="D239" t="s">
        <v>52</v>
      </c>
      <c r="E239" t="s">
        <v>64</v>
      </c>
      <c r="F239" t="s">
        <v>65</v>
      </c>
      <c r="G239" t="s">
        <v>53</v>
      </c>
      <c r="H239" t="s">
        <v>68</v>
      </c>
      <c r="I239" t="s">
        <v>20</v>
      </c>
      <c r="J239" t="s">
        <v>21</v>
      </c>
      <c r="K239" t="s">
        <v>41</v>
      </c>
      <c r="L239" t="s">
        <v>26</v>
      </c>
      <c r="M239">
        <v>5</v>
      </c>
      <c r="N239">
        <v>1</v>
      </c>
      <c r="O239" t="s">
        <v>30</v>
      </c>
      <c r="P239" t="s">
        <v>30</v>
      </c>
      <c r="Q239" t="s">
        <v>25</v>
      </c>
      <c r="R239">
        <v>24901</v>
      </c>
      <c r="S239" t="b">
        <f t="shared" si="40"/>
        <v>0</v>
      </c>
      <c r="T239">
        <f t="shared" si="41"/>
        <v>11778.5</v>
      </c>
      <c r="U239">
        <f t="shared" si="42"/>
        <v>28775.75</v>
      </c>
      <c r="V239">
        <f t="shared" si="43"/>
        <v>16997.25</v>
      </c>
      <c r="W239">
        <f t="shared" si="44"/>
        <v>-39213.25</v>
      </c>
      <c r="X239">
        <f t="shared" si="45"/>
        <v>79767.5</v>
      </c>
    </row>
    <row r="240" spans="1:24" x14ac:dyDescent="0.35">
      <c r="A240" t="s">
        <v>112</v>
      </c>
      <c r="B240" t="s">
        <v>74</v>
      </c>
      <c r="C240">
        <v>2</v>
      </c>
      <c r="D240" t="s">
        <v>15</v>
      </c>
      <c r="E240" t="s">
        <v>16</v>
      </c>
      <c r="F240" t="s">
        <v>17</v>
      </c>
      <c r="G240" t="s">
        <v>18</v>
      </c>
      <c r="H240" t="s">
        <v>54</v>
      </c>
      <c r="I240" t="s">
        <v>20</v>
      </c>
      <c r="J240" t="s">
        <v>21</v>
      </c>
      <c r="K240" t="s">
        <v>41</v>
      </c>
      <c r="L240" t="s">
        <v>26</v>
      </c>
      <c r="M240">
        <v>5</v>
      </c>
      <c r="N240">
        <v>1</v>
      </c>
      <c r="O240" t="s">
        <v>27</v>
      </c>
      <c r="P240" t="s">
        <v>27</v>
      </c>
      <c r="Q240" t="s">
        <v>25</v>
      </c>
      <c r="R240">
        <v>17424</v>
      </c>
      <c r="S240" t="b">
        <f t="shared" si="40"/>
        <v>0</v>
      </c>
      <c r="T240">
        <f t="shared" si="41"/>
        <v>11778.5</v>
      </c>
      <c r="U240">
        <f t="shared" si="42"/>
        <v>28775.75</v>
      </c>
      <c r="V240">
        <f t="shared" si="43"/>
        <v>16997.25</v>
      </c>
      <c r="W240">
        <f t="shared" si="44"/>
        <v>-39213.25</v>
      </c>
      <c r="X240">
        <f t="shared" si="45"/>
        <v>79767.5</v>
      </c>
    </row>
    <row r="241" spans="1:24" x14ac:dyDescent="0.35">
      <c r="A241" t="s">
        <v>112</v>
      </c>
      <c r="B241" t="s">
        <v>74</v>
      </c>
      <c r="C241">
        <v>5</v>
      </c>
      <c r="D241" t="s">
        <v>15</v>
      </c>
      <c r="E241" t="s">
        <v>16</v>
      </c>
      <c r="F241" t="s">
        <v>17</v>
      </c>
      <c r="G241" t="s">
        <v>18</v>
      </c>
      <c r="H241" t="s">
        <v>54</v>
      </c>
      <c r="I241" t="s">
        <v>20</v>
      </c>
      <c r="J241" t="s">
        <v>21</v>
      </c>
      <c r="K241" t="s">
        <v>41</v>
      </c>
      <c r="L241" t="s">
        <v>26</v>
      </c>
      <c r="M241">
        <v>5</v>
      </c>
      <c r="N241">
        <v>1</v>
      </c>
      <c r="O241" t="s">
        <v>30</v>
      </c>
      <c r="P241" t="s">
        <v>30</v>
      </c>
      <c r="Q241" t="s">
        <v>25</v>
      </c>
      <c r="R241">
        <v>19200</v>
      </c>
      <c r="S241" t="b">
        <f t="shared" si="40"/>
        <v>0</v>
      </c>
      <c r="T241">
        <f t="shared" si="41"/>
        <v>11778.5</v>
      </c>
      <c r="U241">
        <f t="shared" si="42"/>
        <v>28775.75</v>
      </c>
      <c r="V241">
        <f t="shared" si="43"/>
        <v>16997.25</v>
      </c>
      <c r="W241">
        <f t="shared" si="44"/>
        <v>-39213.25</v>
      </c>
      <c r="X241">
        <f t="shared" si="45"/>
        <v>79767.5</v>
      </c>
    </row>
    <row r="242" spans="1:24" x14ac:dyDescent="0.35">
      <c r="A242" t="s">
        <v>113</v>
      </c>
      <c r="B242" t="s">
        <v>76</v>
      </c>
      <c r="C242">
        <v>2</v>
      </c>
      <c r="D242" t="s">
        <v>15</v>
      </c>
      <c r="E242" t="s">
        <v>16</v>
      </c>
      <c r="F242" t="s">
        <v>17</v>
      </c>
      <c r="G242" t="s">
        <v>18</v>
      </c>
      <c r="H242" t="s">
        <v>72</v>
      </c>
      <c r="I242" t="s">
        <v>20</v>
      </c>
      <c r="J242" t="s">
        <v>21</v>
      </c>
      <c r="K242" t="s">
        <v>22</v>
      </c>
      <c r="L242" t="s">
        <v>26</v>
      </c>
      <c r="M242">
        <v>5</v>
      </c>
      <c r="N242">
        <v>1</v>
      </c>
      <c r="O242" t="s">
        <v>27</v>
      </c>
      <c r="P242" t="s">
        <v>44</v>
      </c>
      <c r="Q242" t="s">
        <v>43</v>
      </c>
      <c r="R242">
        <v>10254</v>
      </c>
      <c r="S242" t="b">
        <f t="shared" si="40"/>
        <v>0</v>
      </c>
      <c r="T242">
        <f t="shared" si="41"/>
        <v>11778.5</v>
      </c>
      <c r="U242">
        <f t="shared" si="42"/>
        <v>28775.75</v>
      </c>
      <c r="V242">
        <f t="shared" si="43"/>
        <v>16997.25</v>
      </c>
      <c r="W242">
        <f t="shared" si="44"/>
        <v>-39213.25</v>
      </c>
      <c r="X242">
        <f t="shared" si="45"/>
        <v>79767.5</v>
      </c>
    </row>
    <row r="243" spans="1:24" x14ac:dyDescent="0.35">
      <c r="A243" t="s">
        <v>113</v>
      </c>
      <c r="B243" t="s">
        <v>76</v>
      </c>
      <c r="C243">
        <v>5</v>
      </c>
      <c r="D243" t="s">
        <v>15</v>
      </c>
      <c r="E243" t="s">
        <v>16</v>
      </c>
      <c r="F243" t="s">
        <v>17</v>
      </c>
      <c r="G243" t="s">
        <v>18</v>
      </c>
      <c r="H243" t="s">
        <v>72</v>
      </c>
      <c r="I243" t="s">
        <v>20</v>
      </c>
      <c r="J243" t="s">
        <v>21</v>
      </c>
      <c r="K243" t="s">
        <v>22</v>
      </c>
      <c r="L243" t="s">
        <v>26</v>
      </c>
      <c r="M243">
        <v>5</v>
      </c>
      <c r="N243">
        <v>1</v>
      </c>
      <c r="O243" t="s">
        <v>30</v>
      </c>
      <c r="P243" t="s">
        <v>46</v>
      </c>
      <c r="Q243" t="s">
        <v>43</v>
      </c>
      <c r="R243">
        <v>7457</v>
      </c>
      <c r="S243" t="b">
        <f t="shared" si="40"/>
        <v>0</v>
      </c>
      <c r="T243">
        <f t="shared" si="41"/>
        <v>11778.5</v>
      </c>
      <c r="U243">
        <f t="shared" si="42"/>
        <v>28775.75</v>
      </c>
      <c r="V243">
        <f t="shared" si="43"/>
        <v>16997.25</v>
      </c>
      <c r="W243">
        <f t="shared" si="44"/>
        <v>-39213.25</v>
      </c>
      <c r="X243">
        <f t="shared" si="45"/>
        <v>79767.5</v>
      </c>
    </row>
    <row r="244" spans="1:24" x14ac:dyDescent="0.35">
      <c r="A244" t="s">
        <v>114</v>
      </c>
      <c r="B244" t="s">
        <v>77</v>
      </c>
      <c r="C244">
        <v>2</v>
      </c>
      <c r="D244" t="s">
        <v>15</v>
      </c>
      <c r="E244" t="s">
        <v>16</v>
      </c>
      <c r="F244" t="s">
        <v>17</v>
      </c>
      <c r="G244" t="s">
        <v>18</v>
      </c>
      <c r="H244" t="s">
        <v>54</v>
      </c>
      <c r="I244" t="s">
        <v>20</v>
      </c>
      <c r="J244" t="s">
        <v>21</v>
      </c>
      <c r="K244" t="s">
        <v>41</v>
      </c>
      <c r="L244" t="s">
        <v>26</v>
      </c>
      <c r="M244">
        <v>5</v>
      </c>
      <c r="N244">
        <v>1</v>
      </c>
      <c r="O244" t="s">
        <v>27</v>
      </c>
      <c r="P244" t="s">
        <v>44</v>
      </c>
      <c r="Q244" t="s">
        <v>43</v>
      </c>
      <c r="R244">
        <v>11555</v>
      </c>
      <c r="S244" t="b">
        <f t="shared" si="40"/>
        <v>0</v>
      </c>
      <c r="T244">
        <f t="shared" si="41"/>
        <v>11778.5</v>
      </c>
      <c r="U244">
        <f t="shared" si="42"/>
        <v>28775.75</v>
      </c>
      <c r="V244">
        <f t="shared" si="43"/>
        <v>16997.25</v>
      </c>
      <c r="W244">
        <f t="shared" si="44"/>
        <v>-39213.25</v>
      </c>
      <c r="X244">
        <f t="shared" si="45"/>
        <v>79767.5</v>
      </c>
    </row>
    <row r="245" spans="1:24" x14ac:dyDescent="0.35">
      <c r="A245" t="s">
        <v>114</v>
      </c>
      <c r="B245" t="s">
        <v>77</v>
      </c>
      <c r="C245">
        <v>5</v>
      </c>
      <c r="D245" t="s">
        <v>15</v>
      </c>
      <c r="E245" t="s">
        <v>16</v>
      </c>
      <c r="F245" t="s">
        <v>17</v>
      </c>
      <c r="G245" t="s">
        <v>18</v>
      </c>
      <c r="H245" t="s">
        <v>54</v>
      </c>
      <c r="I245" t="s">
        <v>20</v>
      </c>
      <c r="J245" t="s">
        <v>21</v>
      </c>
      <c r="K245" t="s">
        <v>41</v>
      </c>
      <c r="L245" t="s">
        <v>26</v>
      </c>
      <c r="M245">
        <v>5</v>
      </c>
      <c r="N245">
        <v>1</v>
      </c>
      <c r="O245" t="s">
        <v>30</v>
      </c>
      <c r="P245" t="s">
        <v>46</v>
      </c>
      <c r="Q245" t="s">
        <v>43</v>
      </c>
      <c r="R245">
        <v>9105</v>
      </c>
      <c r="S245" t="b">
        <f t="shared" si="40"/>
        <v>0</v>
      </c>
      <c r="T245">
        <f t="shared" si="41"/>
        <v>11778.5</v>
      </c>
      <c r="U245">
        <f t="shared" si="42"/>
        <v>28775.75</v>
      </c>
      <c r="V245">
        <f t="shared" si="43"/>
        <v>16997.25</v>
      </c>
      <c r="W245">
        <f t="shared" si="44"/>
        <v>-39213.25</v>
      </c>
      <c r="X245">
        <f t="shared" si="45"/>
        <v>79767.5</v>
      </c>
    </row>
    <row r="246" spans="1:24" x14ac:dyDescent="0.35">
      <c r="A246" t="s">
        <v>115</v>
      </c>
      <c r="B246" t="s">
        <v>79</v>
      </c>
      <c r="C246">
        <v>2</v>
      </c>
      <c r="D246" t="s">
        <v>40</v>
      </c>
      <c r="E246" t="s">
        <v>64</v>
      </c>
      <c r="F246" t="s">
        <v>17</v>
      </c>
      <c r="G246" t="s">
        <v>53</v>
      </c>
      <c r="H246" t="s">
        <v>72</v>
      </c>
      <c r="I246" t="s">
        <v>20</v>
      </c>
      <c r="J246" t="s">
        <v>78</v>
      </c>
      <c r="K246" t="s">
        <v>61</v>
      </c>
      <c r="L246" t="s">
        <v>26</v>
      </c>
      <c r="M246">
        <v>5</v>
      </c>
      <c r="N246">
        <v>1</v>
      </c>
      <c r="O246" t="s">
        <v>27</v>
      </c>
      <c r="P246" t="s">
        <v>27</v>
      </c>
      <c r="Q246" t="s">
        <v>25</v>
      </c>
      <c r="R246">
        <v>62433</v>
      </c>
      <c r="S246" t="b">
        <f t="shared" si="40"/>
        <v>0</v>
      </c>
      <c r="T246">
        <f t="shared" si="41"/>
        <v>11778.5</v>
      </c>
      <c r="U246">
        <f t="shared" si="42"/>
        <v>28775.75</v>
      </c>
      <c r="V246">
        <f t="shared" si="43"/>
        <v>16997.25</v>
      </c>
      <c r="W246">
        <f t="shared" si="44"/>
        <v>-39213.25</v>
      </c>
      <c r="X246">
        <f t="shared" si="45"/>
        <v>79767.5</v>
      </c>
    </row>
    <row r="247" spans="1:24" x14ac:dyDescent="0.35">
      <c r="A247" t="s">
        <v>115</v>
      </c>
      <c r="B247" t="s">
        <v>79</v>
      </c>
      <c r="C247">
        <v>5</v>
      </c>
      <c r="D247" t="s">
        <v>40</v>
      </c>
      <c r="E247" t="s">
        <v>64</v>
      </c>
      <c r="F247" t="s">
        <v>17</v>
      </c>
      <c r="G247" t="s">
        <v>53</v>
      </c>
      <c r="H247" t="s">
        <v>72</v>
      </c>
      <c r="I247" t="s">
        <v>20</v>
      </c>
      <c r="J247" t="s">
        <v>78</v>
      </c>
      <c r="K247" t="s">
        <v>61</v>
      </c>
      <c r="L247" t="s">
        <v>26</v>
      </c>
      <c r="M247">
        <v>5</v>
      </c>
      <c r="N247">
        <v>1</v>
      </c>
      <c r="O247" t="s">
        <v>30</v>
      </c>
      <c r="P247" t="s">
        <v>30</v>
      </c>
      <c r="Q247" t="s">
        <v>25</v>
      </c>
      <c r="R247">
        <v>15504</v>
      </c>
      <c r="S247" t="b">
        <f t="shared" si="40"/>
        <v>0</v>
      </c>
      <c r="T247">
        <f t="shared" si="41"/>
        <v>11778.5</v>
      </c>
      <c r="U247">
        <f t="shared" si="42"/>
        <v>28775.75</v>
      </c>
      <c r="V247">
        <f t="shared" si="43"/>
        <v>16997.25</v>
      </c>
      <c r="W247">
        <f t="shared" si="44"/>
        <v>-39213.25</v>
      </c>
      <c r="X247">
        <f t="shared" si="45"/>
        <v>79767.5</v>
      </c>
    </row>
    <row r="248" spans="1:24" x14ac:dyDescent="0.35">
      <c r="A248" t="s">
        <v>116</v>
      </c>
      <c r="B248" t="s">
        <v>80</v>
      </c>
      <c r="C248">
        <v>2</v>
      </c>
      <c r="D248" t="s">
        <v>52</v>
      </c>
      <c r="E248" t="s">
        <v>64</v>
      </c>
      <c r="F248" t="s">
        <v>65</v>
      </c>
      <c r="G248" t="s">
        <v>18</v>
      </c>
      <c r="H248" t="s">
        <v>72</v>
      </c>
      <c r="I248" t="s">
        <v>20</v>
      </c>
      <c r="J248" t="s">
        <v>78</v>
      </c>
      <c r="K248" t="s">
        <v>22</v>
      </c>
      <c r="L248" t="s">
        <v>26</v>
      </c>
      <c r="M248">
        <v>5</v>
      </c>
      <c r="N248">
        <v>1</v>
      </c>
      <c r="O248" t="s">
        <v>27</v>
      </c>
      <c r="P248" t="s">
        <v>44</v>
      </c>
      <c r="Q248" t="s">
        <v>43</v>
      </c>
      <c r="R248">
        <v>11564</v>
      </c>
      <c r="S248" t="b">
        <f t="shared" si="40"/>
        <v>0</v>
      </c>
      <c r="T248">
        <f t="shared" si="41"/>
        <v>11778.5</v>
      </c>
      <c r="U248">
        <f t="shared" si="42"/>
        <v>28775.75</v>
      </c>
      <c r="V248">
        <f t="shared" si="43"/>
        <v>16997.25</v>
      </c>
      <c r="W248">
        <f t="shared" si="44"/>
        <v>-39213.25</v>
      </c>
      <c r="X248">
        <f t="shared" si="45"/>
        <v>79767.5</v>
      </c>
    </row>
    <row r="249" spans="1:24" x14ac:dyDescent="0.35">
      <c r="A249" t="s">
        <v>116</v>
      </c>
      <c r="B249" t="s">
        <v>80</v>
      </c>
      <c r="C249">
        <v>5</v>
      </c>
      <c r="D249" t="s">
        <v>52</v>
      </c>
      <c r="E249" t="s">
        <v>64</v>
      </c>
      <c r="F249" t="s">
        <v>65</v>
      </c>
      <c r="G249" t="s">
        <v>18</v>
      </c>
      <c r="H249" t="s">
        <v>72</v>
      </c>
      <c r="I249" t="s">
        <v>20</v>
      </c>
      <c r="J249" t="s">
        <v>78</v>
      </c>
      <c r="K249" t="s">
        <v>22</v>
      </c>
      <c r="L249" t="s">
        <v>26</v>
      </c>
      <c r="M249">
        <v>5</v>
      </c>
      <c r="N249">
        <v>1</v>
      </c>
      <c r="O249" t="s">
        <v>30</v>
      </c>
      <c r="P249" t="s">
        <v>46</v>
      </c>
      <c r="Q249" t="s">
        <v>43</v>
      </c>
      <c r="R249">
        <v>8892</v>
      </c>
      <c r="S249" t="b">
        <f t="shared" si="40"/>
        <v>0</v>
      </c>
      <c r="T249">
        <f t="shared" si="41"/>
        <v>11778.5</v>
      </c>
      <c r="U249">
        <f t="shared" si="42"/>
        <v>28775.75</v>
      </c>
      <c r="V249">
        <f t="shared" si="43"/>
        <v>16997.25</v>
      </c>
      <c r="W249">
        <f t="shared" si="44"/>
        <v>-39213.25</v>
      </c>
      <c r="X249">
        <f t="shared" si="45"/>
        <v>79767.5</v>
      </c>
    </row>
    <row r="250" spans="1:24" x14ac:dyDescent="0.35">
      <c r="A250" t="s">
        <v>117</v>
      </c>
      <c r="B250" t="s">
        <v>81</v>
      </c>
      <c r="C250">
        <v>2</v>
      </c>
      <c r="D250" t="s">
        <v>52</v>
      </c>
      <c r="E250" t="s">
        <v>64</v>
      </c>
      <c r="F250" t="s">
        <v>65</v>
      </c>
      <c r="G250" t="s">
        <v>53</v>
      </c>
      <c r="H250" t="s">
        <v>19</v>
      </c>
      <c r="I250" t="s">
        <v>55</v>
      </c>
      <c r="J250" t="s">
        <v>66</v>
      </c>
      <c r="K250" t="s">
        <v>41</v>
      </c>
      <c r="L250" t="s">
        <v>26</v>
      </c>
      <c r="M250">
        <v>5</v>
      </c>
      <c r="N250">
        <v>1</v>
      </c>
      <c r="O250" t="s">
        <v>27</v>
      </c>
      <c r="P250" t="s">
        <v>27</v>
      </c>
      <c r="Q250" t="s">
        <v>25</v>
      </c>
      <c r="R250">
        <v>61672</v>
      </c>
      <c r="S250" t="b">
        <f t="shared" si="40"/>
        <v>0</v>
      </c>
      <c r="T250">
        <f t="shared" si="41"/>
        <v>11778.5</v>
      </c>
      <c r="U250">
        <f t="shared" si="42"/>
        <v>28775.75</v>
      </c>
      <c r="V250">
        <f t="shared" si="43"/>
        <v>16997.25</v>
      </c>
      <c r="W250">
        <f t="shared" si="44"/>
        <v>-39213.25</v>
      </c>
      <c r="X250">
        <f t="shared" si="45"/>
        <v>79767.5</v>
      </c>
    </row>
    <row r="251" spans="1:24" x14ac:dyDescent="0.35">
      <c r="A251" t="s">
        <v>117</v>
      </c>
      <c r="B251" t="s">
        <v>81</v>
      </c>
      <c r="C251">
        <v>5</v>
      </c>
      <c r="D251" t="s">
        <v>52</v>
      </c>
      <c r="E251" t="s">
        <v>64</v>
      </c>
      <c r="F251" t="s">
        <v>65</v>
      </c>
      <c r="G251" t="s">
        <v>53</v>
      </c>
      <c r="H251" t="s">
        <v>19</v>
      </c>
      <c r="I251" t="s">
        <v>55</v>
      </c>
      <c r="J251" t="s">
        <v>66</v>
      </c>
      <c r="K251" t="s">
        <v>41</v>
      </c>
      <c r="L251" t="s">
        <v>26</v>
      </c>
      <c r="M251">
        <v>5</v>
      </c>
      <c r="N251">
        <v>1</v>
      </c>
      <c r="O251" t="s">
        <v>30</v>
      </c>
      <c r="P251" t="s">
        <v>30</v>
      </c>
      <c r="Q251" t="s">
        <v>25</v>
      </c>
      <c r="R251">
        <v>43607</v>
      </c>
      <c r="S251" t="b">
        <f t="shared" si="40"/>
        <v>0</v>
      </c>
      <c r="T251">
        <f t="shared" si="41"/>
        <v>11778.5</v>
      </c>
      <c r="U251">
        <f t="shared" si="42"/>
        <v>28775.75</v>
      </c>
      <c r="V251">
        <f t="shared" si="43"/>
        <v>16997.25</v>
      </c>
      <c r="W251">
        <f t="shared" si="44"/>
        <v>-39213.25</v>
      </c>
      <c r="X251">
        <f t="shared" si="45"/>
        <v>79767.5</v>
      </c>
    </row>
    <row r="252" spans="1:24" x14ac:dyDescent="0.35">
      <c r="A252" t="s">
        <v>118</v>
      </c>
      <c r="B252" t="s">
        <v>84</v>
      </c>
      <c r="C252">
        <v>2</v>
      </c>
      <c r="D252" t="s">
        <v>15</v>
      </c>
      <c r="E252" t="s">
        <v>64</v>
      </c>
      <c r="F252" t="s">
        <v>65</v>
      </c>
      <c r="G252" t="s">
        <v>53</v>
      </c>
      <c r="H252" t="s">
        <v>82</v>
      </c>
      <c r="I252" t="s">
        <v>20</v>
      </c>
      <c r="J252" t="s">
        <v>83</v>
      </c>
      <c r="K252" t="s">
        <v>61</v>
      </c>
      <c r="L252" t="s">
        <v>26</v>
      </c>
      <c r="M252">
        <v>5</v>
      </c>
      <c r="N252">
        <v>1</v>
      </c>
      <c r="O252" t="s">
        <v>27</v>
      </c>
      <c r="P252" t="s">
        <v>27</v>
      </c>
      <c r="Q252" t="s">
        <v>25</v>
      </c>
      <c r="R252">
        <v>33624</v>
      </c>
      <c r="S252" t="b">
        <f t="shared" si="40"/>
        <v>0</v>
      </c>
      <c r="T252">
        <f t="shared" si="41"/>
        <v>11778.5</v>
      </c>
      <c r="U252">
        <f t="shared" si="42"/>
        <v>28775.75</v>
      </c>
      <c r="V252">
        <f t="shared" si="43"/>
        <v>16997.25</v>
      </c>
      <c r="W252">
        <f t="shared" si="44"/>
        <v>-39213.25</v>
      </c>
      <c r="X252">
        <f t="shared" si="45"/>
        <v>79767.5</v>
      </c>
    </row>
    <row r="253" spans="1:24" x14ac:dyDescent="0.35">
      <c r="A253" t="s">
        <v>118</v>
      </c>
      <c r="B253" t="s">
        <v>84</v>
      </c>
      <c r="C253">
        <v>5</v>
      </c>
      <c r="D253" t="s">
        <v>15</v>
      </c>
      <c r="E253" t="s">
        <v>64</v>
      </c>
      <c r="F253" t="s">
        <v>65</v>
      </c>
      <c r="G253" t="s">
        <v>53</v>
      </c>
      <c r="H253" t="s">
        <v>82</v>
      </c>
      <c r="I253" t="s">
        <v>20</v>
      </c>
      <c r="J253" t="s">
        <v>83</v>
      </c>
      <c r="K253" t="s">
        <v>61</v>
      </c>
      <c r="L253" t="s">
        <v>26</v>
      </c>
      <c r="M253">
        <v>5</v>
      </c>
      <c r="N253">
        <v>1</v>
      </c>
      <c r="O253" t="s">
        <v>30</v>
      </c>
      <c r="P253" t="s">
        <v>30</v>
      </c>
      <c r="Q253" t="s">
        <v>25</v>
      </c>
      <c r="R253">
        <v>20471</v>
      </c>
      <c r="S253" t="b">
        <f t="shared" si="40"/>
        <v>0</v>
      </c>
      <c r="T253">
        <f t="shared" si="41"/>
        <v>11778.5</v>
      </c>
      <c r="U253">
        <f t="shared" si="42"/>
        <v>28775.75</v>
      </c>
      <c r="V253">
        <f t="shared" si="43"/>
        <v>16997.25</v>
      </c>
      <c r="W253">
        <f t="shared" si="44"/>
        <v>-39213.25</v>
      </c>
      <c r="X253">
        <f t="shared" si="45"/>
        <v>79767.5</v>
      </c>
    </row>
    <row r="254" spans="1:24" x14ac:dyDescent="0.35">
      <c r="A254" t="s">
        <v>119</v>
      </c>
      <c r="B254" t="s">
        <v>87</v>
      </c>
      <c r="C254">
        <v>2</v>
      </c>
      <c r="D254" t="s">
        <v>52</v>
      </c>
      <c r="E254" t="s">
        <v>64</v>
      </c>
      <c r="F254" t="s">
        <v>65</v>
      </c>
      <c r="G254" t="s">
        <v>85</v>
      </c>
      <c r="H254" t="s">
        <v>54</v>
      </c>
      <c r="I254" t="s">
        <v>55</v>
      </c>
      <c r="J254" t="s">
        <v>21</v>
      </c>
      <c r="K254" t="s">
        <v>41</v>
      </c>
      <c r="L254" t="s">
        <v>26</v>
      </c>
      <c r="M254">
        <v>5</v>
      </c>
      <c r="N254">
        <v>1</v>
      </c>
      <c r="O254" t="s">
        <v>27</v>
      </c>
      <c r="P254" t="s">
        <v>27</v>
      </c>
      <c r="Q254" t="s">
        <v>25</v>
      </c>
      <c r="R254">
        <v>54001</v>
      </c>
      <c r="S254" t="b">
        <f t="shared" si="40"/>
        <v>0</v>
      </c>
      <c r="T254">
        <f t="shared" si="41"/>
        <v>11778.5</v>
      </c>
      <c r="U254">
        <f t="shared" si="42"/>
        <v>28775.75</v>
      </c>
      <c r="V254">
        <f t="shared" si="43"/>
        <v>16997.25</v>
      </c>
      <c r="W254">
        <f t="shared" si="44"/>
        <v>-39213.25</v>
      </c>
      <c r="X254">
        <f t="shared" si="45"/>
        <v>79767.5</v>
      </c>
    </row>
    <row r="255" spans="1:24" x14ac:dyDescent="0.35">
      <c r="A255" t="s">
        <v>119</v>
      </c>
      <c r="B255" t="s">
        <v>87</v>
      </c>
      <c r="C255">
        <v>5</v>
      </c>
      <c r="D255" t="s">
        <v>52</v>
      </c>
      <c r="E255" t="s">
        <v>64</v>
      </c>
      <c r="F255" t="s">
        <v>65</v>
      </c>
      <c r="G255" t="s">
        <v>85</v>
      </c>
      <c r="H255" t="s">
        <v>54</v>
      </c>
      <c r="I255" t="s">
        <v>55</v>
      </c>
      <c r="J255" t="s">
        <v>21</v>
      </c>
      <c r="K255" t="s">
        <v>41</v>
      </c>
      <c r="L255" t="s">
        <v>26</v>
      </c>
      <c r="M255">
        <v>5</v>
      </c>
      <c r="N255">
        <v>1</v>
      </c>
      <c r="O255" t="s">
        <v>30</v>
      </c>
      <c r="P255" t="s">
        <v>30</v>
      </c>
      <c r="Q255" t="s">
        <v>25</v>
      </c>
      <c r="R255">
        <v>63675</v>
      </c>
      <c r="S255" t="b">
        <f t="shared" si="40"/>
        <v>0</v>
      </c>
      <c r="T255">
        <f t="shared" si="41"/>
        <v>11778.5</v>
      </c>
      <c r="U255">
        <f t="shared" si="42"/>
        <v>28775.75</v>
      </c>
      <c r="V255">
        <f t="shared" si="43"/>
        <v>16997.25</v>
      </c>
      <c r="W255">
        <f t="shared" si="44"/>
        <v>-39213.25</v>
      </c>
      <c r="X255">
        <f t="shared" si="45"/>
        <v>79767.5</v>
      </c>
    </row>
    <row r="256" spans="1:24" x14ac:dyDescent="0.35">
      <c r="A256" t="s">
        <v>120</v>
      </c>
      <c r="B256" t="s">
        <v>90</v>
      </c>
      <c r="C256">
        <v>2</v>
      </c>
      <c r="D256" t="s">
        <v>40</v>
      </c>
      <c r="E256" t="s">
        <v>64</v>
      </c>
      <c r="F256" t="s">
        <v>65</v>
      </c>
      <c r="G256" t="s">
        <v>18</v>
      </c>
      <c r="H256" t="s">
        <v>19</v>
      </c>
      <c r="I256" t="s">
        <v>88</v>
      </c>
      <c r="J256" t="s">
        <v>89</v>
      </c>
      <c r="K256" t="s">
        <v>41</v>
      </c>
      <c r="L256" t="s">
        <v>26</v>
      </c>
      <c r="M256">
        <v>5</v>
      </c>
      <c r="N256">
        <v>1</v>
      </c>
      <c r="O256" t="s">
        <v>27</v>
      </c>
      <c r="P256" t="s">
        <v>27</v>
      </c>
      <c r="Q256" t="s">
        <v>25</v>
      </c>
      <c r="R256">
        <v>16943</v>
      </c>
      <c r="S256" t="b">
        <f t="shared" si="40"/>
        <v>0</v>
      </c>
      <c r="T256">
        <f t="shared" si="41"/>
        <v>11778.5</v>
      </c>
      <c r="U256">
        <f t="shared" si="42"/>
        <v>28775.75</v>
      </c>
      <c r="V256">
        <f t="shared" si="43"/>
        <v>16997.25</v>
      </c>
      <c r="W256">
        <f t="shared" si="44"/>
        <v>-39213.25</v>
      </c>
      <c r="X256">
        <f t="shared" si="45"/>
        <v>79767.5</v>
      </c>
    </row>
    <row r="257" spans="1:24" x14ac:dyDescent="0.35">
      <c r="A257" t="s">
        <v>120</v>
      </c>
      <c r="B257" t="s">
        <v>90</v>
      </c>
      <c r="C257">
        <v>5</v>
      </c>
      <c r="D257" t="s">
        <v>40</v>
      </c>
      <c r="E257" t="s">
        <v>64</v>
      </c>
      <c r="F257" t="s">
        <v>65</v>
      </c>
      <c r="G257" t="s">
        <v>18</v>
      </c>
      <c r="H257" t="s">
        <v>19</v>
      </c>
      <c r="I257" t="s">
        <v>88</v>
      </c>
      <c r="J257" t="s">
        <v>89</v>
      </c>
      <c r="K257" t="s">
        <v>41</v>
      </c>
      <c r="L257" t="s">
        <v>26</v>
      </c>
      <c r="M257">
        <v>5</v>
      </c>
      <c r="N257">
        <v>1</v>
      </c>
      <c r="O257" t="s">
        <v>30</v>
      </c>
      <c r="P257" t="s">
        <v>30</v>
      </c>
      <c r="Q257" t="s">
        <v>25</v>
      </c>
      <c r="R257">
        <v>15884</v>
      </c>
      <c r="S257" t="b">
        <f t="shared" si="40"/>
        <v>0</v>
      </c>
      <c r="T257">
        <f t="shared" si="41"/>
        <v>11778.5</v>
      </c>
      <c r="U257">
        <f t="shared" si="42"/>
        <v>28775.75</v>
      </c>
      <c r="V257">
        <f t="shared" si="43"/>
        <v>16997.25</v>
      </c>
      <c r="W257">
        <f t="shared" si="44"/>
        <v>-39213.25</v>
      </c>
      <c r="X257">
        <f t="shared" si="45"/>
        <v>79767.5</v>
      </c>
    </row>
    <row r="258" spans="1:24" x14ac:dyDescent="0.35">
      <c r="A258" t="s">
        <v>121</v>
      </c>
      <c r="B258" t="s">
        <v>91</v>
      </c>
      <c r="C258">
        <v>2</v>
      </c>
      <c r="D258" t="s">
        <v>15</v>
      </c>
      <c r="E258" t="s">
        <v>64</v>
      </c>
      <c r="F258" t="s">
        <v>65</v>
      </c>
      <c r="G258" t="s">
        <v>18</v>
      </c>
      <c r="H258" t="s">
        <v>68</v>
      </c>
      <c r="I258" t="s">
        <v>20</v>
      </c>
      <c r="J258" t="s">
        <v>66</v>
      </c>
      <c r="K258" t="s">
        <v>41</v>
      </c>
      <c r="L258" t="s">
        <v>26</v>
      </c>
      <c r="M258">
        <v>5</v>
      </c>
      <c r="N258">
        <v>1</v>
      </c>
      <c r="O258" t="s">
        <v>27</v>
      </c>
      <c r="P258" t="s">
        <v>27</v>
      </c>
      <c r="Q258" t="s">
        <v>25</v>
      </c>
      <c r="R258">
        <v>14083</v>
      </c>
      <c r="S258" t="b">
        <f t="shared" si="40"/>
        <v>0</v>
      </c>
      <c r="T258">
        <f t="shared" si="41"/>
        <v>11778.5</v>
      </c>
      <c r="U258">
        <f t="shared" si="42"/>
        <v>28775.75</v>
      </c>
      <c r="V258">
        <f t="shared" si="43"/>
        <v>16997.25</v>
      </c>
      <c r="W258">
        <f t="shared" si="44"/>
        <v>-39213.25</v>
      </c>
      <c r="X258">
        <f t="shared" si="45"/>
        <v>79767.5</v>
      </c>
    </row>
    <row r="259" spans="1:24" x14ac:dyDescent="0.35">
      <c r="A259" t="s">
        <v>121</v>
      </c>
      <c r="B259" t="s">
        <v>91</v>
      </c>
      <c r="C259">
        <v>5</v>
      </c>
      <c r="D259" t="s">
        <v>15</v>
      </c>
      <c r="E259" t="s">
        <v>64</v>
      </c>
      <c r="F259" t="s">
        <v>65</v>
      </c>
      <c r="G259" t="s">
        <v>18</v>
      </c>
      <c r="H259" t="s">
        <v>68</v>
      </c>
      <c r="I259" t="s">
        <v>20</v>
      </c>
      <c r="J259" t="s">
        <v>66</v>
      </c>
      <c r="K259" t="s">
        <v>41</v>
      </c>
      <c r="L259" t="s">
        <v>26</v>
      </c>
      <c r="M259">
        <v>5</v>
      </c>
      <c r="N259">
        <v>1</v>
      </c>
      <c r="O259" t="s">
        <v>30</v>
      </c>
      <c r="P259" t="s">
        <v>30</v>
      </c>
      <c r="Q259" t="s">
        <v>25</v>
      </c>
      <c r="R259">
        <v>10145</v>
      </c>
      <c r="S259" t="b">
        <f t="shared" si="40"/>
        <v>0</v>
      </c>
      <c r="T259">
        <f t="shared" si="41"/>
        <v>11778.5</v>
      </c>
      <c r="U259">
        <f t="shared" si="42"/>
        <v>28775.75</v>
      </c>
      <c r="V259">
        <f t="shared" si="43"/>
        <v>16997.25</v>
      </c>
      <c r="W259">
        <f t="shared" si="44"/>
        <v>-39213.25</v>
      </c>
      <c r="X259">
        <f t="shared" si="45"/>
        <v>79767.5</v>
      </c>
    </row>
    <row r="260" spans="1:24" x14ac:dyDescent="0.35">
      <c r="A260" t="s">
        <v>122</v>
      </c>
      <c r="B260" t="s">
        <v>92</v>
      </c>
      <c r="C260">
        <v>2</v>
      </c>
      <c r="D260" t="s">
        <v>40</v>
      </c>
      <c r="E260" t="s">
        <v>64</v>
      </c>
      <c r="F260" t="s">
        <v>65</v>
      </c>
      <c r="G260" t="s">
        <v>18</v>
      </c>
      <c r="H260" t="s">
        <v>54</v>
      </c>
      <c r="I260" t="s">
        <v>55</v>
      </c>
      <c r="J260" t="s">
        <v>78</v>
      </c>
      <c r="K260" t="s">
        <v>41</v>
      </c>
      <c r="L260" t="s">
        <v>26</v>
      </c>
      <c r="M260">
        <v>5</v>
      </c>
      <c r="N260">
        <v>1</v>
      </c>
      <c r="O260" t="s">
        <v>27</v>
      </c>
      <c r="P260" t="s">
        <v>27</v>
      </c>
      <c r="Q260" t="s">
        <v>25</v>
      </c>
      <c r="R260">
        <v>16665</v>
      </c>
      <c r="S260" t="b">
        <f t="shared" si="40"/>
        <v>0</v>
      </c>
      <c r="T260">
        <f t="shared" si="41"/>
        <v>11778.5</v>
      </c>
      <c r="U260">
        <f t="shared" si="42"/>
        <v>28775.75</v>
      </c>
      <c r="V260">
        <f t="shared" si="43"/>
        <v>16997.25</v>
      </c>
      <c r="W260">
        <f t="shared" si="44"/>
        <v>-39213.25</v>
      </c>
      <c r="X260">
        <f t="shared" si="45"/>
        <v>79767.5</v>
      </c>
    </row>
    <row r="261" spans="1:24" x14ac:dyDescent="0.35">
      <c r="A261" t="s">
        <v>122</v>
      </c>
      <c r="B261" t="s">
        <v>92</v>
      </c>
      <c r="C261">
        <v>5</v>
      </c>
      <c r="D261" t="s">
        <v>40</v>
      </c>
      <c r="E261" t="s">
        <v>64</v>
      </c>
      <c r="F261" t="s">
        <v>65</v>
      </c>
      <c r="G261" t="s">
        <v>18</v>
      </c>
      <c r="H261" t="s">
        <v>54</v>
      </c>
      <c r="I261" t="s">
        <v>55</v>
      </c>
      <c r="J261" t="s">
        <v>78</v>
      </c>
      <c r="K261" t="s">
        <v>41</v>
      </c>
      <c r="L261" t="s">
        <v>26</v>
      </c>
      <c r="M261">
        <v>5</v>
      </c>
      <c r="N261">
        <v>1</v>
      </c>
      <c r="O261" t="s">
        <v>30</v>
      </c>
      <c r="P261" t="s">
        <v>30</v>
      </c>
      <c r="Q261" t="s">
        <v>25</v>
      </c>
      <c r="R261">
        <v>12422</v>
      </c>
      <c r="S261" t="b">
        <f t="shared" si="40"/>
        <v>0</v>
      </c>
      <c r="T261">
        <f t="shared" si="41"/>
        <v>11778.5</v>
      </c>
      <c r="U261">
        <f t="shared" si="42"/>
        <v>28775.75</v>
      </c>
      <c r="V261">
        <f t="shared" si="43"/>
        <v>16997.25</v>
      </c>
      <c r="W261">
        <f t="shared" si="44"/>
        <v>-39213.25</v>
      </c>
      <c r="X261">
        <f t="shared" si="45"/>
        <v>79767.5</v>
      </c>
    </row>
    <row r="262" spans="1:24" x14ac:dyDescent="0.35">
      <c r="A262" t="s">
        <v>123</v>
      </c>
      <c r="B262" t="s">
        <v>94</v>
      </c>
      <c r="C262">
        <v>2</v>
      </c>
      <c r="D262" t="s">
        <v>40</v>
      </c>
      <c r="E262" t="s">
        <v>16</v>
      </c>
      <c r="F262" t="s">
        <v>17</v>
      </c>
      <c r="G262" t="s">
        <v>53</v>
      </c>
      <c r="H262" t="s">
        <v>54</v>
      </c>
      <c r="I262" t="s">
        <v>20</v>
      </c>
      <c r="J262" t="s">
        <v>21</v>
      </c>
      <c r="K262" t="s">
        <v>41</v>
      </c>
      <c r="L262" t="s">
        <v>26</v>
      </c>
      <c r="M262">
        <v>5</v>
      </c>
      <c r="N262">
        <v>1</v>
      </c>
      <c r="O262" t="s">
        <v>27</v>
      </c>
      <c r="P262" t="s">
        <v>27</v>
      </c>
      <c r="Q262" t="s">
        <v>25</v>
      </c>
      <c r="R262">
        <v>27129</v>
      </c>
      <c r="S262" t="b">
        <f t="shared" si="40"/>
        <v>0</v>
      </c>
      <c r="T262">
        <f t="shared" si="41"/>
        <v>11778.5</v>
      </c>
      <c r="U262">
        <f t="shared" si="42"/>
        <v>28775.75</v>
      </c>
      <c r="V262">
        <f t="shared" si="43"/>
        <v>16997.25</v>
      </c>
      <c r="W262">
        <f t="shared" si="44"/>
        <v>-39213.25</v>
      </c>
      <c r="X262">
        <f t="shared" si="45"/>
        <v>79767.5</v>
      </c>
    </row>
    <row r="263" spans="1:24" x14ac:dyDescent="0.35">
      <c r="A263" t="s">
        <v>123</v>
      </c>
      <c r="B263" t="s">
        <v>94</v>
      </c>
      <c r="C263">
        <v>5</v>
      </c>
      <c r="D263" t="s">
        <v>40</v>
      </c>
      <c r="E263" t="s">
        <v>16</v>
      </c>
      <c r="F263" t="s">
        <v>17</v>
      </c>
      <c r="G263" t="s">
        <v>53</v>
      </c>
      <c r="H263" t="s">
        <v>54</v>
      </c>
      <c r="I263" t="s">
        <v>20</v>
      </c>
      <c r="J263" t="s">
        <v>21</v>
      </c>
      <c r="K263" t="s">
        <v>41</v>
      </c>
      <c r="L263" t="s">
        <v>26</v>
      </c>
      <c r="M263">
        <v>5</v>
      </c>
      <c r="N263">
        <v>1</v>
      </c>
      <c r="O263" t="s">
        <v>30</v>
      </c>
      <c r="P263" t="s">
        <v>30</v>
      </c>
      <c r="Q263" t="s">
        <v>25</v>
      </c>
      <c r="R263">
        <v>26728</v>
      </c>
      <c r="S263" t="b">
        <f t="shared" si="40"/>
        <v>0</v>
      </c>
      <c r="T263">
        <f t="shared" si="41"/>
        <v>11778.5</v>
      </c>
      <c r="U263">
        <f t="shared" si="42"/>
        <v>28775.75</v>
      </c>
      <c r="V263">
        <f t="shared" si="43"/>
        <v>16997.25</v>
      </c>
      <c r="W263">
        <f t="shared" si="44"/>
        <v>-39213.25</v>
      </c>
      <c r="X263">
        <f t="shared" si="45"/>
        <v>79767.5</v>
      </c>
    </row>
    <row r="264" spans="1:24" x14ac:dyDescent="0.35">
      <c r="A264" t="s">
        <v>124</v>
      </c>
      <c r="B264" t="s">
        <v>101</v>
      </c>
      <c r="C264">
        <v>2</v>
      </c>
      <c r="D264" t="s">
        <v>15</v>
      </c>
      <c r="E264" t="s">
        <v>64</v>
      </c>
      <c r="F264" t="s">
        <v>65</v>
      </c>
      <c r="G264" t="s">
        <v>53</v>
      </c>
      <c r="H264" t="s">
        <v>82</v>
      </c>
      <c r="I264" t="s">
        <v>55</v>
      </c>
      <c r="J264" t="s">
        <v>83</v>
      </c>
      <c r="K264" t="s">
        <v>22</v>
      </c>
      <c r="L264" t="s">
        <v>26</v>
      </c>
      <c r="M264">
        <v>5</v>
      </c>
      <c r="N264">
        <v>1</v>
      </c>
      <c r="O264" t="s">
        <v>27</v>
      </c>
      <c r="P264" t="s">
        <v>27</v>
      </c>
      <c r="Q264" t="s">
        <v>25</v>
      </c>
      <c r="R264">
        <v>35645</v>
      </c>
      <c r="S264" t="b">
        <f>OR(R264&lt;W264,R264&gt;X264)</f>
        <v>0</v>
      </c>
      <c r="T264">
        <f t="shared" si="41"/>
        <v>11778.5</v>
      </c>
      <c r="U264">
        <f t="shared" si="42"/>
        <v>28775.75</v>
      </c>
      <c r="V264">
        <f t="shared" si="43"/>
        <v>16997.25</v>
      </c>
      <c r="W264">
        <f t="shared" si="44"/>
        <v>-39213.25</v>
      </c>
      <c r="X264">
        <f t="shared" si="45"/>
        <v>79767.5</v>
      </c>
    </row>
    <row r="265" spans="1:24" x14ac:dyDescent="0.35">
      <c r="A265" t="s">
        <v>124</v>
      </c>
      <c r="B265" t="s">
        <v>101</v>
      </c>
      <c r="C265">
        <v>5</v>
      </c>
      <c r="D265" t="s">
        <v>15</v>
      </c>
      <c r="E265" t="s">
        <v>64</v>
      </c>
      <c r="F265" t="s">
        <v>65</v>
      </c>
      <c r="G265" t="s">
        <v>53</v>
      </c>
      <c r="H265" t="s">
        <v>82</v>
      </c>
      <c r="I265" t="s">
        <v>55</v>
      </c>
      <c r="J265" t="s">
        <v>83</v>
      </c>
      <c r="K265" t="s">
        <v>22</v>
      </c>
      <c r="L265" t="s">
        <v>26</v>
      </c>
      <c r="M265">
        <v>5</v>
      </c>
      <c r="N265">
        <v>1</v>
      </c>
      <c r="O265" t="s">
        <v>30</v>
      </c>
      <c r="P265" t="s">
        <v>30</v>
      </c>
      <c r="Q265" t="s">
        <v>25</v>
      </c>
      <c r="R265">
        <v>19496</v>
      </c>
      <c r="S265" t="b">
        <f t="shared" ref="S265" si="46">OR(R265&lt;W265,R265&gt;X265)</f>
        <v>0</v>
      </c>
      <c r="T265">
        <f t="shared" si="41"/>
        <v>11778.5</v>
      </c>
      <c r="U265">
        <f t="shared" si="42"/>
        <v>28775.75</v>
      </c>
      <c r="V265">
        <f t="shared" si="43"/>
        <v>16997.25</v>
      </c>
      <c r="W265">
        <f t="shared" si="44"/>
        <v>-39213.25</v>
      </c>
      <c r="X265">
        <f t="shared" si="45"/>
        <v>79767.5</v>
      </c>
    </row>
  </sheetData>
  <sortState xmlns:xlrd2="http://schemas.microsoft.com/office/spreadsheetml/2017/richdata2" ref="B2:R253">
    <sortCondition ref="L2:L253"/>
    <sortCondition ref="M2:M25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Measurements</vt:lpstr>
      <vt:lpstr>Ordered</vt:lpstr>
      <vt:lpstr>Outlier_Ordered_Type_Params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Hanenberg</cp:lastModifiedBy>
  <dcterms:created xsi:type="dcterms:W3CDTF">2015-06-05T18:19:34Z</dcterms:created>
  <dcterms:modified xsi:type="dcterms:W3CDTF">2025-09-13T22:24:01Z</dcterms:modified>
</cp:coreProperties>
</file>